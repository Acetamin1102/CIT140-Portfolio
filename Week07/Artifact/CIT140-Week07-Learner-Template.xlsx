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56aa1ceb9f656131/Desktop/School/CIT/SystemsAnalyst_CIT140/"/>
    </mc:Choice>
  </mc:AlternateContent>
  <xr:revisionPtr revIDLastSave="64" documentId="13_ncr:1_{C3B68634-16AE-4CEC-A641-A6CB755446DC}" xr6:coauthVersionLast="47" xr6:coauthVersionMax="47" xr10:uidLastSave="{16549501-FE1B-4699-A3F2-CEC75ADAB062}"/>
  <bookViews>
    <workbookView xWindow="-28920" yWindow="-3120" windowWidth="29040" windowHeight="15720" xr2:uid="{00000000-000D-0000-FFFF-FFFF00000000}"/>
  </bookViews>
  <sheets>
    <sheet name="Report" sheetId="1" r:id="rId1"/>
    <sheet name="RawRecords" sheetId="5" r:id="rId2"/>
    <sheet name="WO_Dupes" sheetId="7" state="hidden" r:id="rId3"/>
    <sheet name="Table1" sheetId="6" r:id="rId4"/>
    <sheet name="Raw" sheetId="2" r:id="rId5"/>
    <sheet name="Prepared" sheetId="3" r:id="rId6"/>
    <sheet name="Audit" sheetId="4" r:id="rId7"/>
  </sheets>
  <definedNames>
    <definedName name="ExternalData_1" localSheetId="1" hidden="1">'RawRecords'!$A$1:$L$21</definedName>
    <definedName name="ExternalData_1" localSheetId="3" hidden="1">Table1!$A$1:$F$21</definedName>
    <definedName name="ExternalData_2" localSheetId="2" hidden="1">WO_Dupes!$A$1:$B$20</definedName>
    <definedName name="_xlnm.Print_Area" localSheetId="0">Report!$A$1:$G$49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a="1"/>
  <c r="E12" i="1" a="1"/>
  <c r="E11" i="1" a="1"/>
  <c r="E10" i="1" a="1"/>
  <c r="E9" i="1" a="1"/>
  <c r="C13" i="1"/>
  <c r="D13" i="1" s="1"/>
  <c r="C12" i="1"/>
  <c r="D12" i="1" s="1"/>
  <c r="C11" i="1"/>
  <c r="D11" i="1" s="1"/>
  <c r="C10" i="1"/>
  <c r="D10" i="1" s="1"/>
  <c r="C9" i="1"/>
  <c r="D9" i="1" s="1"/>
  <c r="K21" i="4"/>
  <c r="J21" i="4"/>
  <c r="I21" i="4"/>
  <c r="H21" i="4"/>
  <c r="G21" i="4"/>
  <c r="L21" i="4" s="1"/>
  <c r="F21" i="4"/>
  <c r="E21" i="4"/>
  <c r="D21" i="4"/>
  <c r="C21" i="4"/>
  <c r="B21" i="4"/>
  <c r="A21" i="4"/>
  <c r="K20" i="4"/>
  <c r="J20" i="4"/>
  <c r="I20" i="4"/>
  <c r="H20" i="4"/>
  <c r="G20" i="4"/>
  <c r="L20" i="4" s="1"/>
  <c r="F20" i="4"/>
  <c r="E20" i="4"/>
  <c r="D20" i="4"/>
  <c r="C20" i="4"/>
  <c r="B20" i="4"/>
  <c r="A20" i="4"/>
  <c r="K19" i="4"/>
  <c r="J19" i="4"/>
  <c r="I19" i="4"/>
  <c r="H19" i="4"/>
  <c r="G19" i="4"/>
  <c r="L19" i="4" s="1"/>
  <c r="F19" i="4"/>
  <c r="E19" i="4"/>
  <c r="D19" i="4"/>
  <c r="C19" i="4"/>
  <c r="B19" i="4"/>
  <c r="A19" i="4"/>
  <c r="K18" i="4"/>
  <c r="J18" i="4"/>
  <c r="I18" i="4"/>
  <c r="H18" i="4"/>
  <c r="G18" i="4"/>
  <c r="L18" i="4" s="1"/>
  <c r="F18" i="4"/>
  <c r="E18" i="4"/>
  <c r="D18" i="4"/>
  <c r="C18" i="4"/>
  <c r="B18" i="4"/>
  <c r="A18" i="4"/>
  <c r="K17" i="4"/>
  <c r="J17" i="4"/>
  <c r="I17" i="4"/>
  <c r="H17" i="4"/>
  <c r="G17" i="4"/>
  <c r="L17" i="4" s="1"/>
  <c r="F17" i="4"/>
  <c r="E17" i="4"/>
  <c r="D17" i="4"/>
  <c r="C17" i="4"/>
  <c r="B17" i="4"/>
  <c r="A17" i="4"/>
  <c r="K16" i="4"/>
  <c r="J16" i="4"/>
  <c r="I16" i="4"/>
  <c r="H16" i="4"/>
  <c r="G16" i="4"/>
  <c r="L16" i="4" s="1"/>
  <c r="F16" i="4"/>
  <c r="E16" i="4"/>
  <c r="D16" i="4"/>
  <c r="C16" i="4"/>
  <c r="B16" i="4"/>
  <c r="A16" i="4"/>
  <c r="K15" i="4"/>
  <c r="J15" i="4"/>
  <c r="I15" i="4"/>
  <c r="H15" i="4"/>
  <c r="G15" i="4"/>
  <c r="L15" i="4" s="1"/>
  <c r="F15" i="4"/>
  <c r="E15" i="4"/>
  <c r="D15" i="4"/>
  <c r="C15" i="4"/>
  <c r="B15" i="4"/>
  <c r="A15" i="4"/>
  <c r="K14" i="4"/>
  <c r="J14" i="4"/>
  <c r="I14" i="4"/>
  <c r="H14" i="4"/>
  <c r="G14" i="4"/>
  <c r="L14" i="4" s="1"/>
  <c r="F14" i="4"/>
  <c r="E14" i="4"/>
  <c r="D14" i="4"/>
  <c r="C14" i="4"/>
  <c r="B14" i="4"/>
  <c r="A14" i="4"/>
  <c r="K13" i="4"/>
  <c r="J13" i="4"/>
  <c r="I13" i="4"/>
  <c r="H13" i="4"/>
  <c r="G13" i="4"/>
  <c r="L13" i="4" s="1"/>
  <c r="F13" i="4"/>
  <c r="E13" i="4"/>
  <c r="D13" i="4"/>
  <c r="C13" i="4"/>
  <c r="B13" i="4"/>
  <c r="A13" i="4"/>
  <c r="K12" i="4"/>
  <c r="J12" i="4"/>
  <c r="I12" i="4"/>
  <c r="H12" i="4"/>
  <c r="G12" i="4"/>
  <c r="L12" i="4" s="1"/>
  <c r="F12" i="4"/>
  <c r="E12" i="4"/>
  <c r="D12" i="4"/>
  <c r="C12" i="4"/>
  <c r="B12" i="4"/>
  <c r="A12" i="4"/>
  <c r="K11" i="4"/>
  <c r="J11" i="4"/>
  <c r="I11" i="4"/>
  <c r="H11" i="4"/>
  <c r="G11" i="4"/>
  <c r="L11" i="4" s="1"/>
  <c r="F11" i="4"/>
  <c r="E11" i="4"/>
  <c r="D11" i="4"/>
  <c r="C11" i="4"/>
  <c r="B11" i="4"/>
  <c r="A11" i="4"/>
  <c r="K10" i="4"/>
  <c r="J10" i="4"/>
  <c r="I10" i="4"/>
  <c r="H10" i="4"/>
  <c r="G10" i="4"/>
  <c r="L10" i="4" s="1"/>
  <c r="F10" i="4"/>
  <c r="E10" i="4"/>
  <c r="D10" i="4"/>
  <c r="C10" i="4"/>
  <c r="B10" i="4"/>
  <c r="A10" i="4"/>
  <c r="K9" i="4"/>
  <c r="J9" i="4"/>
  <c r="I9" i="4"/>
  <c r="H9" i="4"/>
  <c r="G9" i="4"/>
  <c r="L9" i="4" s="1"/>
  <c r="F9" i="4"/>
  <c r="E9" i="4"/>
  <c r="D9" i="4"/>
  <c r="C9" i="4"/>
  <c r="B9" i="4"/>
  <c r="A9" i="4"/>
  <c r="K8" i="4"/>
  <c r="J8" i="4"/>
  <c r="I8" i="4"/>
  <c r="H8" i="4"/>
  <c r="G8" i="4"/>
  <c r="L8" i="4" s="1"/>
  <c r="F8" i="4"/>
  <c r="E8" i="4"/>
  <c r="D8" i="4"/>
  <c r="C8" i="4"/>
  <c r="B8" i="4"/>
  <c r="A8" i="4"/>
  <c r="K7" i="4"/>
  <c r="J7" i="4"/>
  <c r="I7" i="4"/>
  <c r="H7" i="4"/>
  <c r="G7" i="4"/>
  <c r="L7" i="4" s="1"/>
  <c r="F7" i="4"/>
  <c r="E7" i="4"/>
  <c r="D7" i="4"/>
  <c r="C7" i="4"/>
  <c r="B7" i="4"/>
  <c r="A7" i="4"/>
  <c r="K6" i="4"/>
  <c r="J6" i="4"/>
  <c r="I6" i="4"/>
  <c r="H6" i="4"/>
  <c r="G6" i="4"/>
  <c r="L6" i="4" s="1"/>
  <c r="F6" i="4"/>
  <c r="E6" i="4"/>
  <c r="D6" i="4"/>
  <c r="C6" i="4"/>
  <c r="B6" i="4"/>
  <c r="A6" i="4"/>
  <c r="K5" i="4"/>
  <c r="J5" i="4"/>
  <c r="I5" i="4"/>
  <c r="H5" i="4"/>
  <c r="G5" i="4"/>
  <c r="L5" i="4" s="1"/>
  <c r="F5" i="4"/>
  <c r="E5" i="4"/>
  <c r="D5" i="4"/>
  <c r="C5" i="4"/>
  <c r="B5" i="4"/>
  <c r="A5" i="4"/>
  <c r="K4" i="4"/>
  <c r="J4" i="4"/>
  <c r="I4" i="4"/>
  <c r="H4" i="4"/>
  <c r="G4" i="4"/>
  <c r="L4" i="4" s="1"/>
  <c r="F4" i="4"/>
  <c r="E4" i="4"/>
  <c r="D4" i="4"/>
  <c r="C4" i="4"/>
  <c r="B4" i="4"/>
  <c r="A4" i="4"/>
  <c r="L3" i="4"/>
  <c r="K3" i="4"/>
  <c r="J3" i="4"/>
  <c r="I3" i="4"/>
  <c r="H3" i="4"/>
  <c r="G3" i="4"/>
  <c r="F3" i="4"/>
  <c r="E3" i="4"/>
  <c r="D3" i="4"/>
  <c r="C3" i="4"/>
  <c r="B3" i="4"/>
  <c r="A3" i="4"/>
  <c r="K2" i="4"/>
  <c r="J2" i="4"/>
  <c r="I2" i="4"/>
  <c r="H2" i="4"/>
  <c r="G2" i="4"/>
  <c r="L2" i="4" s="1"/>
  <c r="F2" i="4"/>
  <c r="E2" i="4"/>
  <c r="D2" i="4"/>
  <c r="C2" i="4"/>
  <c r="B2" i="4"/>
  <c r="A2" i="4"/>
  <c r="C15" i="1"/>
  <c r="D15" i="1" s="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FE961F-B4B0-40D9-810D-7A90A00A5BA1}" keepAlive="1" name="Query - NullMachineID" description="Connection to the 'NullMachineID' query in the workbook." type="5" refreshedVersion="8" background="1" saveData="1">
    <dbPr connection="Provider=Microsoft.Mashup.OleDb.1;Data Source=$Workbook$;Location=NullMachineID;Extended Properties=&quot;&quot;" command="SELECT * FROM [NullMachineID]"/>
  </connection>
  <connection id="2" xr16:uid="{D05CB33B-6FF4-4880-B974-2306E91736B7}" keepAlive="1" name="Query - NullMachineID (2)" description="Connection to the 'NullMachineID (2)' query in the workbook." type="5" refreshedVersion="8" background="1" saveData="1">
    <dbPr connection="Provider=Microsoft.Mashup.OleDb.1;Data Source=$Workbook$;Location=&quot;NullMachineID (2)&quot;;Extended Properties=&quot;&quot;" command="SELECT * FROM [NullMachineID (2)]"/>
  </connection>
  <connection id="3" xr16:uid="{885B5F41-6A77-45A0-B613-3A53FED1598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7F5C5A80-9921-40D5-AAF0-2B24A6646D24}" keepAlive="1" name="Query - WO_Dupes" description="Connection to the 'WO_Dupes' query in the workbook." type="5" refreshedVersion="8" background="1" saveData="1">
    <dbPr connection="Provider=Microsoft.Mashup.OleDb.1;Data Source=$Workbook$;Location=WO_Dupes;Extended Properties=&quot;&quot;" command="SELECT * FROM [WO_Dup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<sst xmlns="http://schemas.openxmlformats.org/spreadsheetml/2006/main" count="583" uniqueCount="116">
  <si>
    <t>CIT 140 · Week 7 · Data-Quality Report</t>
  </si>
  <si>
    <t>Meridian Forge · fictional inspection export v1</t>
  </si>
  <si>
    <t>Learner name / date</t>
  </si>
  <si>
    <t>[Enter your name and date]</t>
  </si>
  <si>
    <t>Import status</t>
  </si>
  <si>
    <t>Amber cells: your responses. Other results calculate from Prepared and Audit.</t>
  </si>
  <si>
    <t>Rule</t>
  </si>
  <si>
    <t>Check</t>
  </si>
  <si>
    <t>Rows flagged</t>
  </si>
  <si>
    <t>Share of all rows</t>
  </si>
  <si>
    <t>Affected Row_IDs</t>
  </si>
  <si>
    <t>Q01</t>
  </si>
  <si>
    <t>Machine ID is required</t>
  </si>
  <si>
    <t>Q02</t>
  </si>
  <si>
    <t>Work order is unique</t>
  </si>
  <si>
    <t>Q03</t>
  </si>
  <si>
    <t>Status uses the agreed list</t>
  </si>
  <si>
    <t>Q04</t>
  </si>
  <si>
    <t>Duration is in range</t>
  </si>
  <si>
    <t>Q05</t>
  </si>
  <si>
    <t>READY identifies an inspector</t>
  </si>
  <si>
    <t>Distinct rows with any issue</t>
  </si>
  <si>
    <t>Count each row once, even when several Q-rules flag it. Do not add the five counts.</t>
  </si>
  <si>
    <t>Scope: all 20 supplied records. Q02 flags every row in a repeated Work_Order_ID group; extra duplicate copies are a different measure. Unresolved fields remain flagged, not guessed.</t>
  </si>
  <si>
    <t>Source: authored CIT140 case W07-S01 (Raw) and W07-S02 (rules). Report a data-quality finding, not a machine safety clearance. Explain your evidence and next action on page 2.</t>
  </si>
  <si>
    <t>Week 7 · Explanation and refresh evidence</t>
  </si>
  <si>
    <t>Finding: Row_ID, Q-number, actual value, source and effect</t>
  </si>
  <si>
    <t>[Write a short, specific response in your own words.]</t>
  </si>
  <si>
    <t>Next action: what to verify, who owns it, and how to retest</t>
  </si>
  <si>
    <t>Limit: why you cannot guess a correction or prove accuracy</t>
  </si>
  <si>
    <t>Professional connection: one framework idea and how you used it</t>
  </si>
  <si>
    <t>Refresh test: before, changed value, after, and restored result</t>
  </si>
  <si>
    <t>Export only Report: two landscape pages, page break before row 26. Review both pages.</t>
  </si>
  <si>
    <t>Row_ID</t>
  </si>
  <si>
    <t>Machine_ID</t>
  </si>
  <si>
    <t>Work_Order_ID</t>
  </si>
  <si>
    <t>Status</t>
  </si>
  <si>
    <t>Inspection_Minutes</t>
  </si>
  <si>
    <t>Inspector_ID</t>
  </si>
  <si>
    <t>R01</t>
  </si>
  <si>
    <t>MF-01</t>
  </si>
  <si>
    <t>WO-1001</t>
  </si>
  <si>
    <t>READY</t>
  </si>
  <si>
    <t>IN-1</t>
  </si>
  <si>
    <t>R02</t>
  </si>
  <si>
    <t>MF-02</t>
  </si>
  <si>
    <t>WO-1002</t>
  </si>
  <si>
    <t>HOLD</t>
  </si>
  <si>
    <t>IN-2</t>
  </si>
  <si>
    <t>R03</t>
  </si>
  <si>
    <t>WO-1003</t>
  </si>
  <si>
    <t>R04</t>
  </si>
  <si>
    <t>MF-04</t>
  </si>
  <si>
    <t>WO-1004</t>
  </si>
  <si>
    <t>ready</t>
  </si>
  <si>
    <t>IN-4</t>
  </si>
  <si>
    <t>R05</t>
  </si>
  <si>
    <t>MF-05</t>
  </si>
  <si>
    <t>WO-1005</t>
  </si>
  <si>
    <t>R06</t>
  </si>
  <si>
    <t>MF-06</t>
  </si>
  <si>
    <t>REVIEW</t>
  </si>
  <si>
    <t>R07</t>
  </si>
  <si>
    <t>MF-07</t>
  </si>
  <si>
    <t>WO-1007</t>
  </si>
  <si>
    <t>R08</t>
  </si>
  <si>
    <t>MF-08</t>
  </si>
  <si>
    <t>WO-1008</t>
  </si>
  <si>
    <t>RDEAY</t>
  </si>
  <si>
    <t>R09</t>
  </si>
  <si>
    <t>MF-09</t>
  </si>
  <si>
    <t>WO-1009</t>
  </si>
  <si>
    <t>R10</t>
  </si>
  <si>
    <t>MF-10</t>
  </si>
  <si>
    <t>WO-1010</t>
  </si>
  <si>
    <t>R11</t>
  </si>
  <si>
    <t>MF-11</t>
  </si>
  <si>
    <t>WO-1011</t>
  </si>
  <si>
    <t>hold</t>
  </si>
  <si>
    <t>IN-3</t>
  </si>
  <si>
    <t>R12</t>
  </si>
  <si>
    <t>MF-12</t>
  </si>
  <si>
    <t>WO-1012</t>
  </si>
  <si>
    <t>R13</t>
  </si>
  <si>
    <t>MF-13</t>
  </si>
  <si>
    <t>WO-1013</t>
  </si>
  <si>
    <t>R14</t>
  </si>
  <si>
    <t>WO-1014</t>
  </si>
  <si>
    <t>R15</t>
  </si>
  <si>
    <t>MF-15</t>
  </si>
  <si>
    <t>WO-1015</t>
  </si>
  <si>
    <t>R16</t>
  </si>
  <si>
    <t>MF-16</t>
  </si>
  <si>
    <t>WO-1016</t>
  </si>
  <si>
    <t>DONE</t>
  </si>
  <si>
    <t>R17</t>
  </si>
  <si>
    <t>MF-17</t>
  </si>
  <si>
    <t>WO-1017</t>
  </si>
  <si>
    <t>R18</t>
  </si>
  <si>
    <t>MF-18</t>
  </si>
  <si>
    <t>WO-1018</t>
  </si>
  <si>
    <t>R19</t>
  </si>
  <si>
    <t>MF-19</t>
  </si>
  <si>
    <t>WO-1019</t>
  </si>
  <si>
    <t>R20</t>
  </si>
  <si>
    <t>MF-20</t>
  </si>
  <si>
    <t>WO-1020</t>
  </si>
  <si>
    <t>Any_issue</t>
  </si>
  <si>
    <t>Craig Temple 10/27/26</t>
  </si>
  <si>
    <t>WO_Dupes.WO_Count</t>
  </si>
  <si>
    <t>WO_Count</t>
  </si>
  <si>
    <t>R03 failed Q01 and Q05 because Machine_ID and Inspector_ID are both blank, despite its status being READY. The source is the inspection data, and this could cause issues with tracking the machine and assigning responsibility.</t>
  </si>
  <si>
    <t>The inspection supervisor should verify the missing IDs against the original records. Once corrected, refresh Power Query and confirm both flags change from 1 to 0.</t>
  </si>
  <si>
    <t xml:space="preserve">Before changes R01 Inspection_Minutes was set to '20' and Q04 flag was set to '1'. I updated R01Inspection_Minutes to '0', refreshed data, and the new Q04 flag was set to '0' indicating it was no longer within criteria of a whole number (not = null or 0). 
Passing </t>
  </si>
  <si>
    <t>Passing the validation rules doesn't guarantee the data is accurate. We can confirm the records meet our requirements, but we can't verify the actual machine or inspection without comparing it against physical records.</t>
  </si>
  <si>
    <t>I used the validity concept from the government Data Quality Framework. Power Query allowed me to apply consistent validation rules and automatically flag records that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</si>
</sst>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142F38"/>
      <name val="Arial"/>
    </font>
    <font>
      <b/>
      <sz val="16"/>
      <color rgb="FF142F38"/>
      <name val="Arial"/>
    </font>
    <font>
      <sz val="11"/>
      <color rgb="FF142F38"/>
      <name val="Arial"/>
    </font>
    <font>
      <b/>
      <sz val="11"/>
      <color rgb="FF142F38"/>
      <name val="Arial"/>
    </font>
    <font>
      <b/>
      <sz val="11"/>
      <color rgb="FFFFFFFF"/>
      <name val="Arial"/>
    </font>
    <font>
      <sz val="8"/>
      <name val="Carlito"/>
    </font>
  </fonts>
  <fills count="5">
    <fill>
      <patternFill patternType="none"/>
    </fill>
    <fill>
      <patternFill patternType="gray125"/>
    </fill>
    <fill>
      <patternFill patternType="solid">
        <fgColor rgb="FFFFF1CF"/>
      </patternFill>
    </fill>
    <fill>
      <patternFill patternType="solid">
        <fgColor rgb="FF173F4B"/>
      </patternFill>
    </fill>
    <fill>
      <patternFill patternType="solid">
        <fgColor rgb="FFDFE9EC"/>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5" fillId="3" borderId="0" xfId="0" applyFont="1" applyFill="1" applyAlignment="1">
      <alignment vertical="center" wrapText="1"/>
    </xf>
    <xf numFmtId="9" fontId="1" fillId="0" borderId="0" xfId="0" applyNumberFormat="1" applyFont="1" applyAlignment="1">
      <alignment vertical="center"/>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5" fillId="3" borderId="4" xfId="0" applyFont="1" applyFill="1" applyBorder="1" applyAlignment="1">
      <alignment vertical="center" wrapText="1"/>
    </xf>
    <xf numFmtId="0" fontId="1" fillId="0" borderId="5" xfId="0" applyFont="1" applyBorder="1" applyAlignment="1">
      <alignment vertical="center"/>
    </xf>
    <xf numFmtId="0" fontId="1" fillId="0" borderId="1"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4" borderId="1" xfId="0" applyFont="1" applyFill="1" applyBorder="1" applyAlignment="1">
      <alignment vertical="center" wrapText="1"/>
    </xf>
    <xf numFmtId="0" fontId="1" fillId="0" borderId="1" xfId="0" applyFont="1" applyBorder="1" applyAlignment="1">
      <alignment vertical="center" wrapText="1"/>
    </xf>
    <xf numFmtId="9" fontId="1" fillId="0" borderId="1" xfId="0" applyNumberFormat="1" applyFont="1" applyBorder="1" applyAlignment="1">
      <alignment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vertical="top" wrapText="1"/>
    </xf>
    <xf numFmtId="0" fontId="3" fillId="2" borderId="0" xfId="0" applyFont="1" applyFill="1" applyAlignment="1">
      <alignment vertical="top" wrapText="1"/>
    </xf>
    <xf numFmtId="0" fontId="4" fillId="4" borderId="1" xfId="0" applyFont="1" applyFill="1" applyBorder="1" applyAlignment="1">
      <alignment vertical="top" wrapText="1"/>
    </xf>
    <xf numFmtId="0" fontId="3" fillId="2" borderId="6" xfId="0" applyFont="1" applyFill="1" applyBorder="1" applyAlignment="1">
      <alignment vertical="top" wrapText="1"/>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1" fillId="0" borderId="0" xfId="0" applyFont="1" applyAlignment="1">
      <alignment vertical="top" wrapText="1"/>
    </xf>
  </cellXfs>
  <cellStyles count="1">
    <cellStyle name="Normal" xfId="0" builtinId="0"/>
  </cellStyles>
  <dxfs count="22">
    <dxf>
      <font>
        <b/>
        <color rgb="FF9B2B23"/>
      </font>
      <fill>
        <patternFill patternType="solid">
          <bgColor rgb="FFFCE5DF"/>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3AD437-F484-427B-9B2D-DDC0DBAC0FFB}" autoFormatId="16" applyNumberFormats="0" applyBorderFormats="0" applyFontFormats="0" applyPatternFormats="0" applyAlignmentFormats="0" applyWidthHeightFormats="0">
  <queryTableRefresh nextId="13">
    <queryTableFields count="12">
      <queryTableField id="1" name="Row_ID" tableColumnId="1"/>
      <queryTableField id="2" name="Machine_ID" tableColumnId="2"/>
      <queryTableField id="3" name="Work_Order_ID" tableColumnId="3"/>
      <queryTableField id="4" name="Status" tableColumnId="4"/>
      <queryTableField id="5" name="Inspection_Minutes" tableColumnId="5"/>
      <queryTableField id="6" name="Inspector_ID" tableColumnId="6"/>
      <queryTableField id="7" name="WO_Dupes.WO_Count" tableColumnId="7"/>
      <queryTableField id="8" name="Q01" tableColumnId="8"/>
      <queryTableField id="9" name="Q02" tableColumnId="9"/>
      <queryTableField id="10" name="Q03" tableColumnId="10"/>
      <queryTableField id="11" name="Q04" tableColumnId="11"/>
      <queryTableField id="12" name="Q05"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E67342F8-32A2-4701-A8A1-781AD0DECC1D}" autoFormatId="16" applyNumberFormats="0" applyBorderFormats="0" applyFontFormats="0" applyPatternFormats="0" applyAlignmentFormats="0" applyWidthHeightFormats="0">
  <queryTableRefresh nextId="3">
    <queryTableFields count="2">
      <queryTableField id="1" name="Work_Order_ID" tableColumnId="1"/>
      <queryTableField id="2" name="WO_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F7E4CBF-B5B7-4553-9851-E8F0DE3E1116}" autoFormatId="16" applyNumberFormats="0" applyBorderFormats="0" applyFontFormats="0" applyPatternFormats="0" applyAlignmentFormats="0" applyWidthHeightFormats="0">
  <queryTableRefresh nextId="7">
    <queryTableFields count="6">
      <queryTableField id="1" name="Row_ID" tableColumnId="1"/>
      <queryTableField id="2" name="Machine_ID" tableColumnId="2"/>
      <queryTableField id="3" name="Work_Order_ID" tableColumnId="3"/>
      <queryTableField id="4" name="Status" tableColumnId="4"/>
      <queryTableField id="5" name="Inspection_Minutes" tableColumnId="5"/>
      <queryTableField id="6" name="Inspector_ID"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52D14D-C715-4672-A612-D72E00BEA483}" name="NullMachineID" displayName="NullMachineID" ref="A1:L21" tableType="queryTable" totalsRowShown="0">
  <autoFilter ref="A1:L21" xr:uid="{C852D14D-C715-4672-A612-D72E00BEA483}"/>
  <tableColumns count="12">
    <tableColumn id="1" xr3:uid="{67BD6780-9406-453C-ADE7-C3293805F99D}" uniqueName="1" name="Row_ID" queryTableFieldId="1" dataDxfId="21"/>
    <tableColumn id="2" xr3:uid="{4BF491B8-3117-452D-B339-9DCF2480AA59}" uniqueName="2" name="Machine_ID" queryTableFieldId="2" dataDxfId="20"/>
    <tableColumn id="3" xr3:uid="{F78CEEDD-06D9-4493-BF32-2A9969F92685}" uniqueName="3" name="Work_Order_ID" queryTableFieldId="3" dataDxfId="19"/>
    <tableColumn id="4" xr3:uid="{2E6B9AA9-AED4-44DC-BE27-DD7E812B4AE8}" uniqueName="4" name="Status" queryTableFieldId="4" dataDxfId="18"/>
    <tableColumn id="5" xr3:uid="{E4E0BE91-DCD7-40E5-AC5D-447B5944F623}" uniqueName="5" name="Inspection_Minutes" queryTableFieldId="5"/>
    <tableColumn id="6" xr3:uid="{F8504881-EE62-4977-9B0E-FD7CECDFB35A}" uniqueName="6" name="Inspector_ID" queryTableFieldId="6" dataDxfId="17"/>
    <tableColumn id="7" xr3:uid="{ABDAD040-8AF6-41D5-8366-753198A656C0}" uniqueName="7" name="WO_Dupes.WO_Count" queryTableFieldId="7"/>
    <tableColumn id="8" xr3:uid="{1F24B175-41C8-4F4A-B89B-C64D6C8DEB8C}" uniqueName="8" name="Q01" queryTableFieldId="8"/>
    <tableColumn id="9" xr3:uid="{389A473B-F255-47A9-B656-EF87CE23D039}" uniqueName="9" name="Q02" queryTableFieldId="9"/>
    <tableColumn id="10" xr3:uid="{5B9DDF33-20B9-4CC3-BBFD-070155D08E77}" uniqueName="10" name="Q03" queryTableFieldId="10"/>
    <tableColumn id="11" xr3:uid="{417625B1-1223-45EC-8A82-717BE7C661F5}" uniqueName="11" name="Q04" queryTableFieldId="11"/>
    <tableColumn id="12" xr3:uid="{B3CD9BB1-7950-4E54-A953-453A681BFD66}" uniqueName="12" name="Q05" queryTableFieldId="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233B3F-0D42-4699-BE4A-61AB49AD0427}" name="WO_Dupes" displayName="WO_Dupes" ref="A1:B20" tableType="queryTable" totalsRowShown="0">
  <autoFilter ref="A1:B20" xr:uid="{80233B3F-0D42-4699-BE4A-61AB49AD0427}"/>
  <tableColumns count="2">
    <tableColumn id="1" xr3:uid="{0703DE78-1A2A-467C-8161-8B6C42F2EA0D}" uniqueName="1" name="Work_Order_ID" queryTableFieldId="1" dataDxfId="16"/>
    <tableColumn id="2" xr3:uid="{A3911EBF-C4EA-4322-9941-1E53A2E5F35A}" uniqueName="2" name="WO_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0B1927-F15C-4BA4-B294-7EB8F5CA26A6}" name="Table1" displayName="Table1" ref="A1:F21" tableType="queryTable" totalsRowShown="0">
  <autoFilter ref="A1:F21" xr:uid="{810B1927-F15C-4BA4-B294-7EB8F5CA26A6}"/>
  <tableColumns count="6">
    <tableColumn id="1" xr3:uid="{C8A7B6C6-700C-41EB-BB44-7803F33AB81D}" uniqueName="1" name="Row_ID" queryTableFieldId="1" dataDxfId="15"/>
    <tableColumn id="2" xr3:uid="{A4B33FB5-5C62-4F11-A707-1FA7538109E4}" uniqueName="2" name="Machine_ID" queryTableFieldId="2" dataDxfId="14"/>
    <tableColumn id="3" xr3:uid="{FB6524CE-3E64-400F-B948-6312CB659DD9}" uniqueName="3" name="Work_Order_ID" queryTableFieldId="3" dataDxfId="13"/>
    <tableColumn id="4" xr3:uid="{184DD9B8-12BE-4EC6-A377-2AD87AD8E292}" uniqueName="4" name="Status" queryTableFieldId="4" dataDxfId="12"/>
    <tableColumn id="5" xr3:uid="{BA54F24A-1FFC-46B0-AAC2-63B070C15880}" uniqueName="5" name="Inspection_Minutes" queryTableFieldId="5"/>
    <tableColumn id="6" xr3:uid="{A4332935-9CDE-4CAB-9594-F96E443890C1}" uniqueName="6" name="Inspector_ID" queryTableFieldId="6"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Records" displayName="RawRecords" ref="A1:F21" totalsRowShown="0" headerRowDxfId="10" headerRowBorderDxfId="9" tableBorderDxfId="8" totalsRowBorderDxfId="7">
  <tableColumns count="6">
    <tableColumn id="1" xr3:uid="{00000000-0010-0000-0000-000001000000}" name="Row_ID" dataDxfId="6"/>
    <tableColumn id="2" xr3:uid="{00000000-0010-0000-0000-000002000000}" name="Machine_ID" dataDxfId="5"/>
    <tableColumn id="3" xr3:uid="{00000000-0010-0000-0000-000003000000}" name="Work_Order_ID" dataDxfId="4"/>
    <tableColumn id="4" xr3:uid="{00000000-0010-0000-0000-000004000000}" name="Status" dataDxfId="3"/>
    <tableColumn id="5" xr3:uid="{00000000-0010-0000-0000-000005000000}" name="Inspection_Minutes" dataDxfId="2"/>
    <tableColumn id="6" xr3:uid="{00000000-0010-0000-0000-000006000000}" name="Inspector_ID"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leAudit" displayName="RuleAudit" ref="A1:L21" totalsRowShown="0">
  <tableColumns count="12">
    <tableColumn id="1" xr3:uid="{00000000-0010-0000-0100-000001000000}" name="Row_ID"/>
    <tableColumn id="2" xr3:uid="{00000000-0010-0000-0100-000002000000}" name="Machine_ID"/>
    <tableColumn id="3" xr3:uid="{00000000-0010-0000-0100-000003000000}" name="Work_Order_ID"/>
    <tableColumn id="4" xr3:uid="{00000000-0010-0000-0100-000004000000}" name="Status"/>
    <tableColumn id="5" xr3:uid="{00000000-0010-0000-0100-000005000000}" name="Inspection_Minutes"/>
    <tableColumn id="6" xr3:uid="{00000000-0010-0000-0100-000006000000}" name="Inspector_ID"/>
    <tableColumn id="7" xr3:uid="{00000000-0010-0000-0100-000007000000}" name="Q01"/>
    <tableColumn id="8" xr3:uid="{00000000-0010-0000-0100-000008000000}" name="Q02"/>
    <tableColumn id="9" xr3:uid="{00000000-0010-0000-0100-000009000000}" name="Q03"/>
    <tableColumn id="10" xr3:uid="{00000000-0010-0000-0100-00000A000000}" name="Q04"/>
    <tableColumn id="11" xr3:uid="{00000000-0010-0000-0100-00000B000000}" name="Q05"/>
    <tableColumn id="12" xr3:uid="{00000000-0010-0000-0100-00000C000000}" name="Any_iss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4B"/>
    <pageSetUpPr fitToPage="1"/>
  </sheetPr>
  <dimension ref="A1:L52"/>
  <sheetViews>
    <sheetView showGridLines="0" tabSelected="1" view="pageBreakPreview" topLeftCell="A5" zoomScale="60" zoomScaleNormal="100" workbookViewId="0">
      <selection activeCell="A26" sqref="A26:XFD26"/>
    </sheetView>
  </sheetViews>
  <sheetFormatPr defaultRowHeight="13.8"/>
  <cols>
    <col min="1" max="7" width="15" customWidth="1"/>
  </cols>
  <sheetData>
    <row r="1" spans="1:12" ht="8.1" customHeight="1">
      <c r="A1" s="1"/>
      <c r="B1" s="1"/>
      <c r="C1" s="1"/>
      <c r="D1" s="1"/>
      <c r="E1" s="1"/>
      <c r="F1" s="1"/>
      <c r="G1" s="1"/>
      <c r="H1" s="1"/>
      <c r="I1" s="1"/>
      <c r="J1" s="1"/>
      <c r="K1" s="1"/>
      <c r="L1" s="1"/>
    </row>
    <row r="2" spans="1:12" ht="24" customHeight="1">
      <c r="A2" s="16" t="s">
        <v>0</v>
      </c>
      <c r="B2" s="16" t="s">
        <v>0</v>
      </c>
      <c r="C2" s="16" t="s">
        <v>0</v>
      </c>
      <c r="D2" s="16" t="s">
        <v>0</v>
      </c>
      <c r="E2" s="16" t="s">
        <v>0</v>
      </c>
      <c r="F2" s="16" t="s">
        <v>0</v>
      </c>
      <c r="G2" s="16" t="s">
        <v>0</v>
      </c>
      <c r="H2" s="1"/>
      <c r="I2" s="1"/>
      <c r="J2" s="1"/>
      <c r="K2" s="1"/>
      <c r="L2" s="1"/>
    </row>
    <row r="3" spans="1:12" ht="18" customHeight="1">
      <c r="A3" s="17" t="s">
        <v>1</v>
      </c>
      <c r="B3" s="17" t="s">
        <v>1</v>
      </c>
      <c r="C3" s="17" t="s">
        <v>1</v>
      </c>
      <c r="D3" s="17" t="s">
        <v>1</v>
      </c>
      <c r="E3" s="17" t="s">
        <v>1</v>
      </c>
      <c r="F3" s="17" t="s">
        <v>1</v>
      </c>
      <c r="G3" s="17" t="s">
        <v>1</v>
      </c>
      <c r="H3" s="1"/>
      <c r="I3" s="1"/>
      <c r="J3" s="1"/>
      <c r="K3" s="1"/>
      <c r="L3" s="1"/>
    </row>
    <row r="4" spans="1:12" ht="18" customHeight="1">
      <c r="A4" s="18" t="s">
        <v>2</v>
      </c>
      <c r="B4" s="18" t="s">
        <v>2</v>
      </c>
      <c r="C4" s="19" t="s">
        <v>108</v>
      </c>
      <c r="D4" s="20" t="s">
        <v>3</v>
      </c>
      <c r="E4" s="20" t="s">
        <v>3</v>
      </c>
      <c r="F4" s="20" t="s">
        <v>3</v>
      </c>
      <c r="G4" s="20" t="s">
        <v>3</v>
      </c>
      <c r="H4" s="1"/>
      <c r="I4" s="1"/>
      <c r="J4" s="1"/>
      <c r="K4" s="1"/>
      <c r="L4" s="1"/>
    </row>
    <row r="5" spans="1:12" ht="18" customHeight="1">
      <c r="A5" s="18" t="s">
        <v>4</v>
      </c>
      <c r="B5" s="18" t="s">
        <v>4</v>
      </c>
      <c r="C5" s="17" t="str">
        <f>IF(COUNTA(Prepared!A2:A21)=20,"20 rows loaded","Load all 20 rows first")</f>
        <v>Load all 20 rows first</v>
      </c>
      <c r="D5" s="17"/>
      <c r="E5" s="17"/>
      <c r="F5" s="17"/>
      <c r="G5" s="17"/>
      <c r="H5" s="1"/>
      <c r="I5" s="1"/>
      <c r="J5" s="1"/>
      <c r="K5" s="1"/>
      <c r="L5" s="1"/>
    </row>
    <row r="6" spans="1:12" ht="18" customHeight="1">
      <c r="A6" s="17" t="s">
        <v>5</v>
      </c>
      <c r="B6" s="17" t="s">
        <v>5</v>
      </c>
      <c r="C6" s="17" t="s">
        <v>5</v>
      </c>
      <c r="D6" s="17" t="s">
        <v>5</v>
      </c>
      <c r="E6" s="17" t="s">
        <v>5</v>
      </c>
      <c r="F6" s="17" t="s">
        <v>5</v>
      </c>
      <c r="G6" s="17" t="s">
        <v>5</v>
      </c>
      <c r="H6" s="1"/>
      <c r="I6" s="1"/>
      <c r="J6" s="1"/>
      <c r="K6" s="1"/>
      <c r="L6" s="1"/>
    </row>
    <row r="7" spans="1:12" ht="8.1" customHeight="1">
      <c r="A7" s="1"/>
      <c r="B7" s="1"/>
      <c r="C7" s="1"/>
      <c r="D7" s="1"/>
      <c r="E7" s="1"/>
      <c r="F7" s="1"/>
      <c r="G7" s="1"/>
      <c r="H7" s="1"/>
      <c r="I7" s="1"/>
      <c r="J7" s="1"/>
      <c r="K7" s="1"/>
      <c r="L7" s="1"/>
    </row>
    <row r="8" spans="1:12" ht="30" customHeight="1">
      <c r="A8" s="13" t="s">
        <v>6</v>
      </c>
      <c r="B8" s="13" t="s">
        <v>7</v>
      </c>
      <c r="C8" s="13" t="s">
        <v>8</v>
      </c>
      <c r="D8" s="13" t="s">
        <v>9</v>
      </c>
      <c r="E8" s="21" t="s">
        <v>10</v>
      </c>
      <c r="F8" s="21" t="s">
        <v>10</v>
      </c>
      <c r="G8" s="21" t="s">
        <v>10</v>
      </c>
      <c r="H8" s="1"/>
      <c r="I8" s="1"/>
      <c r="J8" s="1"/>
      <c r="K8" s="1"/>
      <c r="L8" s="1"/>
    </row>
    <row r="9" spans="1:12" ht="39.9" customHeight="1">
      <c r="A9" s="8" t="s">
        <v>11</v>
      </c>
      <c r="B9" s="14" t="s">
        <v>12</v>
      </c>
      <c r="C9" s="8">
        <f>COUNTIF(NullMachineID[Q01],1)</f>
        <v>2</v>
      </c>
      <c r="D9" s="15">
        <f>IF(C9="","",C9/20)</f>
        <v>0.1</v>
      </c>
      <c r="E9" s="22" t="str" cm="1">
        <f t="array" ref="E9">_xlfn.TEXTJOIN(", ",TRUE,_xlfn._xlws.FILTER('RawRecords'!A2:A21,'RawRecords'!H2:H21=1,"None"))</f>
        <v>R03, R14</v>
      </c>
      <c r="F9" s="23"/>
      <c r="G9" s="24"/>
      <c r="H9" s="1"/>
      <c r="I9" s="1"/>
      <c r="J9" s="1"/>
      <c r="K9" s="1"/>
      <c r="L9" s="1"/>
    </row>
    <row r="10" spans="1:12" ht="39.9" customHeight="1">
      <c r="A10" s="8" t="s">
        <v>13</v>
      </c>
      <c r="B10" s="14" t="s">
        <v>14</v>
      </c>
      <c r="C10" s="8">
        <f>COUNTIF(NullMachineID[Q02],1)</f>
        <v>2</v>
      </c>
      <c r="D10" s="15">
        <f>IF(C10="","",C10/20)</f>
        <v>0.1</v>
      </c>
      <c r="E10" s="22" t="str" cm="1">
        <f t="array" ref="E10">_xlfn.TEXTJOIN(", ",TRUE,_xlfn._xlws.FILTER('RawRecords'!A2:A21,'RawRecords'!I2:I21=1,"None"))</f>
        <v>R05, R06</v>
      </c>
      <c r="F10" s="23"/>
      <c r="G10" s="24"/>
      <c r="H10" s="1"/>
      <c r="I10" s="1"/>
      <c r="J10" s="1"/>
      <c r="K10" s="1"/>
      <c r="L10" s="1"/>
    </row>
    <row r="11" spans="1:12" ht="39.9" customHeight="1">
      <c r="A11" s="8" t="s">
        <v>15</v>
      </c>
      <c r="B11" s="14" t="s">
        <v>16</v>
      </c>
      <c r="C11" s="8">
        <f>COUNTIF(NullMachineID[Q03],1)</f>
        <v>1</v>
      </c>
      <c r="D11" s="15">
        <f>IF(C11="","",C11/20)</f>
        <v>0.05</v>
      </c>
      <c r="E11" s="22" t="str" cm="1">
        <f t="array" ref="E11">_xlfn.TEXTJOIN(", ",TRUE,_xlfn._xlws.FILTER('RawRecords'!A2:A21,'RawRecords'!J2:J21=1,"None"))</f>
        <v>R08</v>
      </c>
      <c r="F11" s="23"/>
      <c r="G11" s="24"/>
      <c r="H11" s="1"/>
      <c r="I11" s="1"/>
      <c r="J11" s="1"/>
      <c r="K11" s="1"/>
      <c r="L11" s="1"/>
    </row>
    <row r="12" spans="1:12" ht="39.9" customHeight="1">
      <c r="A12" s="8" t="s">
        <v>17</v>
      </c>
      <c r="B12" s="14" t="s">
        <v>18</v>
      </c>
      <c r="C12" s="8">
        <f>COUNTIF(NullMachineID[Q04],1)</f>
        <v>2</v>
      </c>
      <c r="D12" s="15">
        <f>IF(C12="","",C12/20)</f>
        <v>0.1</v>
      </c>
      <c r="E12" s="22" t="str" cm="1">
        <f t="array" ref="E12">_xlfn.TEXTJOIN(", ",TRUE,_xlfn._xlws.FILTER('RawRecords'!A2:A21,'RawRecords'!K2:K21=1,"None"))</f>
        <v>R10, R20</v>
      </c>
      <c r="F12" s="23"/>
      <c r="G12" s="24"/>
      <c r="H12" s="1"/>
      <c r="I12" s="1"/>
      <c r="J12" s="1"/>
      <c r="K12" s="1"/>
      <c r="L12" s="1"/>
    </row>
    <row r="13" spans="1:12" ht="39.9" customHeight="1">
      <c r="A13" s="8" t="s">
        <v>19</v>
      </c>
      <c r="B13" s="14" t="s">
        <v>20</v>
      </c>
      <c r="C13" s="8">
        <f>COUNTIF(NullMachineID[Q05],1)</f>
        <v>3</v>
      </c>
      <c r="D13" s="15">
        <f>IF(C13="","",C13/20)</f>
        <v>0.15</v>
      </c>
      <c r="E13" s="22" t="str" cm="1">
        <f t="array" ref="E13">_xlfn.TEXTJOIN(", ",TRUE,_xlfn._xlws.FILTER('RawRecords'!A2:A21,'RawRecords'!L2:L21=1,"None"))</f>
        <v>R03, R07, R12</v>
      </c>
      <c r="F13" s="23"/>
      <c r="G13" s="24"/>
      <c r="H13" s="1"/>
      <c r="I13" s="1"/>
      <c r="J13" s="1"/>
      <c r="K13" s="1"/>
      <c r="L13" s="1"/>
    </row>
    <row r="14" spans="1:12" ht="8.1" customHeight="1">
      <c r="A14" s="1"/>
      <c r="B14" s="1"/>
      <c r="C14" s="1"/>
      <c r="D14" s="3"/>
      <c r="E14" s="1"/>
      <c r="F14" s="1"/>
      <c r="G14" s="1"/>
      <c r="H14" s="1"/>
      <c r="I14" s="1"/>
      <c r="J14" s="1"/>
      <c r="K14" s="1"/>
      <c r="L14" s="1"/>
    </row>
    <row r="15" spans="1:12" ht="21.9" customHeight="1">
      <c r="A15" s="18" t="s">
        <v>21</v>
      </c>
      <c r="B15" s="18" t="s">
        <v>21</v>
      </c>
      <c r="C15" s="1" t="str">
        <f>IF(COUNTA(Prepared!$A$2:$A$21)&lt;&gt;20,"",COUNTIFS(Audit!L2:L21,"FLAG"))</f>
        <v/>
      </c>
      <c r="D15" s="3" t="str">
        <f>IF(C15="","",C15/20)</f>
        <v/>
      </c>
      <c r="E15" s="17" t="s">
        <v>22</v>
      </c>
      <c r="F15" s="17" t="s">
        <v>22</v>
      </c>
      <c r="G15" s="17" t="s">
        <v>22</v>
      </c>
      <c r="H15" s="1"/>
      <c r="I15" s="1"/>
      <c r="J15" s="1"/>
      <c r="K15" s="1"/>
      <c r="L15" s="1"/>
    </row>
    <row r="16" spans="1:12" ht="21.9" customHeight="1">
      <c r="A16" s="1"/>
      <c r="B16" s="1"/>
      <c r="C16" s="1"/>
      <c r="D16" s="1"/>
      <c r="E16" s="17" t="s">
        <v>22</v>
      </c>
      <c r="F16" s="17" t="s">
        <v>22</v>
      </c>
      <c r="G16" s="17" t="s">
        <v>22</v>
      </c>
      <c r="H16" s="1"/>
      <c r="I16" s="1"/>
      <c r="J16" s="1"/>
      <c r="K16" s="1"/>
      <c r="L16" s="1"/>
    </row>
    <row r="17" spans="1:12" ht="8.1" customHeight="1">
      <c r="A17" s="1"/>
      <c r="B17" s="1"/>
      <c r="C17" s="1"/>
      <c r="D17" s="1"/>
      <c r="E17" s="1"/>
      <c r="F17" s="1"/>
      <c r="G17" s="1"/>
      <c r="H17" s="1"/>
      <c r="I17" s="1"/>
      <c r="J17" s="1"/>
      <c r="K17" s="1"/>
      <c r="L17" s="1"/>
    </row>
    <row r="18" spans="1:12" ht="18" customHeight="1">
      <c r="A18" s="17" t="s">
        <v>23</v>
      </c>
      <c r="B18" s="17" t="s">
        <v>23</v>
      </c>
      <c r="C18" s="17" t="s">
        <v>23</v>
      </c>
      <c r="D18" s="17" t="s">
        <v>23</v>
      </c>
      <c r="E18" s="17" t="s">
        <v>23</v>
      </c>
      <c r="F18" s="17" t="s">
        <v>23</v>
      </c>
      <c r="G18" s="17" t="s">
        <v>23</v>
      </c>
      <c r="H18" s="1"/>
      <c r="I18" s="1"/>
      <c r="J18" s="1"/>
      <c r="K18" s="1"/>
      <c r="L18" s="1"/>
    </row>
    <row r="19" spans="1:12" ht="18" customHeight="1">
      <c r="A19" s="17" t="s">
        <v>23</v>
      </c>
      <c r="B19" s="17" t="s">
        <v>23</v>
      </c>
      <c r="C19" s="17" t="s">
        <v>23</v>
      </c>
      <c r="D19" s="17" t="s">
        <v>23</v>
      </c>
      <c r="E19" s="17" t="s">
        <v>23</v>
      </c>
      <c r="F19" s="17" t="s">
        <v>23</v>
      </c>
      <c r="G19" s="17" t="s">
        <v>23</v>
      </c>
      <c r="H19" s="1"/>
      <c r="I19" s="1"/>
      <c r="J19" s="1"/>
      <c r="K19" s="1"/>
      <c r="L19" s="1"/>
    </row>
    <row r="20" spans="1:12" ht="8.1" customHeight="1">
      <c r="A20" s="1"/>
      <c r="B20" s="1"/>
      <c r="C20" s="1"/>
      <c r="D20" s="1"/>
      <c r="E20" s="1"/>
      <c r="F20" s="1"/>
      <c r="G20" s="1"/>
      <c r="H20" s="1"/>
      <c r="I20" s="1"/>
      <c r="J20" s="1"/>
      <c r="K20" s="1"/>
      <c r="L20" s="1"/>
    </row>
    <row r="21" spans="1:12" ht="18" customHeight="1">
      <c r="A21" s="17" t="s">
        <v>24</v>
      </c>
      <c r="B21" s="17" t="s">
        <v>24</v>
      </c>
      <c r="C21" s="17" t="s">
        <v>24</v>
      </c>
      <c r="D21" s="17" t="s">
        <v>24</v>
      </c>
      <c r="E21" s="17" t="s">
        <v>24</v>
      </c>
      <c r="F21" s="17" t="s">
        <v>24</v>
      </c>
      <c r="G21" s="17" t="s">
        <v>24</v>
      </c>
      <c r="H21" s="1"/>
      <c r="I21" s="1"/>
      <c r="J21" s="1"/>
      <c r="K21" s="1"/>
      <c r="L21" s="1"/>
    </row>
    <row r="22" spans="1:12" ht="18" customHeight="1">
      <c r="A22" s="17" t="s">
        <v>24</v>
      </c>
      <c r="B22" s="17" t="s">
        <v>24</v>
      </c>
      <c r="C22" s="17" t="s">
        <v>24</v>
      </c>
      <c r="D22" s="17" t="s">
        <v>24</v>
      </c>
      <c r="E22" s="17" t="s">
        <v>24</v>
      </c>
      <c r="F22" s="17" t="s">
        <v>24</v>
      </c>
      <c r="G22" s="17" t="s">
        <v>24</v>
      </c>
      <c r="H22" s="1"/>
      <c r="I22" s="1"/>
      <c r="J22" s="1"/>
      <c r="K22" s="1"/>
      <c r="L22" s="1"/>
    </row>
    <row r="23" spans="1:12" ht="18" customHeight="1">
      <c r="A23" s="17" t="s">
        <v>24</v>
      </c>
      <c r="B23" s="17" t="s">
        <v>24</v>
      </c>
      <c r="C23" s="17" t="s">
        <v>24</v>
      </c>
      <c r="D23" s="17" t="s">
        <v>24</v>
      </c>
      <c r="E23" s="17" t="s">
        <v>24</v>
      </c>
      <c r="F23" s="17" t="s">
        <v>24</v>
      </c>
      <c r="G23" s="17" t="s">
        <v>24</v>
      </c>
      <c r="H23" s="1"/>
      <c r="I23" s="1"/>
      <c r="J23" s="1"/>
      <c r="K23" s="1"/>
      <c r="L23" s="1"/>
    </row>
    <row r="24" spans="1:12" ht="8.1" customHeight="1">
      <c r="A24" s="1"/>
      <c r="B24" s="1"/>
      <c r="C24" s="1"/>
      <c r="D24" s="1"/>
      <c r="E24" s="1"/>
      <c r="F24" s="1"/>
      <c r="G24" s="1"/>
      <c r="H24" s="1"/>
      <c r="I24" s="1"/>
      <c r="J24" s="1"/>
      <c r="K24" s="1"/>
      <c r="L24" s="1"/>
    </row>
    <row r="25" spans="1:12" ht="8.1" customHeight="1">
      <c r="A25" s="1"/>
      <c r="B25" s="1"/>
      <c r="C25" s="1"/>
      <c r="D25" s="1"/>
      <c r="E25" s="1"/>
      <c r="F25" s="1"/>
      <c r="G25" s="1"/>
      <c r="H25" s="1"/>
      <c r="I25" s="1"/>
      <c r="J25" s="1"/>
      <c r="K25" s="1"/>
      <c r="L25" s="1"/>
    </row>
    <row r="26" spans="1:12" ht="21.9" customHeight="1">
      <c r="A26" s="16" t="s">
        <v>25</v>
      </c>
      <c r="B26" s="16" t="s">
        <v>25</v>
      </c>
      <c r="C26" s="16" t="s">
        <v>25</v>
      </c>
      <c r="D26" s="16" t="s">
        <v>25</v>
      </c>
      <c r="E26" s="16" t="s">
        <v>25</v>
      </c>
      <c r="F26" s="16" t="s">
        <v>25</v>
      </c>
      <c r="G26" s="16" t="s">
        <v>25</v>
      </c>
      <c r="H26" s="1"/>
      <c r="I26" s="1"/>
      <c r="J26" s="1"/>
      <c r="K26" s="1"/>
      <c r="L26" s="1"/>
    </row>
    <row r="27" spans="1:12" ht="21.9" customHeight="1">
      <c r="A27" s="1"/>
      <c r="B27" s="1"/>
      <c r="C27" s="1"/>
      <c r="D27" s="1"/>
      <c r="E27" s="1"/>
      <c r="F27" s="1"/>
      <c r="G27" s="1"/>
      <c r="H27" s="1"/>
      <c r="I27" s="1"/>
      <c r="J27" s="1"/>
      <c r="K27" s="1"/>
      <c r="L27" s="1"/>
    </row>
    <row r="28" spans="1:12" ht="21.9" customHeight="1">
      <c r="A28" s="18" t="s">
        <v>26</v>
      </c>
      <c r="B28" s="18" t="s">
        <v>26</v>
      </c>
      <c r="C28" s="18" t="s">
        <v>26</v>
      </c>
      <c r="D28" s="18" t="s">
        <v>26</v>
      </c>
      <c r="E28" s="18" t="s">
        <v>26</v>
      </c>
      <c r="F28" s="18" t="s">
        <v>26</v>
      </c>
      <c r="G28" s="18" t="s">
        <v>26</v>
      </c>
      <c r="H28" s="1"/>
      <c r="I28" s="1"/>
      <c r="J28" s="1"/>
      <c r="K28" s="1"/>
      <c r="L28" s="1"/>
    </row>
    <row r="29" spans="1:12" ht="21" customHeight="1">
      <c r="A29" s="19" t="s">
        <v>111</v>
      </c>
      <c r="B29" s="20" t="s">
        <v>27</v>
      </c>
      <c r="C29" s="20" t="s">
        <v>27</v>
      </c>
      <c r="D29" s="20" t="s">
        <v>27</v>
      </c>
      <c r="E29" s="20" t="s">
        <v>27</v>
      </c>
      <c r="F29" s="20" t="s">
        <v>27</v>
      </c>
      <c r="G29" s="20" t="s">
        <v>27</v>
      </c>
      <c r="H29" s="1"/>
      <c r="I29" s="1"/>
      <c r="J29" s="1"/>
      <c r="K29" s="1"/>
      <c r="L29" s="1"/>
    </row>
    <row r="30" spans="1:12" ht="21" customHeight="1">
      <c r="A30" s="20" t="s">
        <v>27</v>
      </c>
      <c r="B30" s="20" t="s">
        <v>27</v>
      </c>
      <c r="C30" s="20" t="s">
        <v>27</v>
      </c>
      <c r="D30" s="20" t="s">
        <v>27</v>
      </c>
      <c r="E30" s="20" t="s">
        <v>27</v>
      </c>
      <c r="F30" s="20" t="s">
        <v>27</v>
      </c>
      <c r="G30" s="20" t="s">
        <v>27</v>
      </c>
      <c r="H30" s="1"/>
      <c r="I30" s="1"/>
      <c r="J30" s="1"/>
      <c r="K30" s="1"/>
      <c r="L30" s="1"/>
    </row>
    <row r="31" spans="1:12" ht="21" customHeight="1">
      <c r="A31" s="20" t="s">
        <v>27</v>
      </c>
      <c r="B31" s="20" t="s">
        <v>27</v>
      </c>
      <c r="C31" s="20" t="s">
        <v>27</v>
      </c>
      <c r="D31" s="20" t="s">
        <v>27</v>
      </c>
      <c r="E31" s="20" t="s">
        <v>27</v>
      </c>
      <c r="F31" s="20" t="s">
        <v>27</v>
      </c>
      <c r="G31" s="20" t="s">
        <v>27</v>
      </c>
      <c r="H31" s="1"/>
      <c r="I31" s="1"/>
      <c r="J31" s="1"/>
      <c r="K31" s="1"/>
      <c r="L31" s="1"/>
    </row>
    <row r="32" spans="1:12" ht="21.9" customHeight="1">
      <c r="A32" s="18" t="s">
        <v>28</v>
      </c>
      <c r="B32" s="18" t="s">
        <v>28</v>
      </c>
      <c r="C32" s="18" t="s">
        <v>28</v>
      </c>
      <c r="D32" s="18" t="s">
        <v>28</v>
      </c>
      <c r="E32" s="18" t="s">
        <v>28</v>
      </c>
      <c r="F32" s="18" t="s">
        <v>28</v>
      </c>
      <c r="G32" s="18" t="s">
        <v>28</v>
      </c>
      <c r="H32" s="1"/>
      <c r="I32" s="1"/>
      <c r="J32" s="1"/>
      <c r="K32" s="1"/>
      <c r="L32" s="1"/>
    </row>
    <row r="33" spans="1:12" ht="21" customHeight="1">
      <c r="A33" s="19" t="s">
        <v>112</v>
      </c>
      <c r="B33" s="20" t="s">
        <v>27</v>
      </c>
      <c r="C33" s="20" t="s">
        <v>27</v>
      </c>
      <c r="D33" s="20" t="s">
        <v>27</v>
      </c>
      <c r="E33" s="20" t="s">
        <v>27</v>
      </c>
      <c r="F33" s="20" t="s">
        <v>27</v>
      </c>
      <c r="G33" s="20" t="s">
        <v>27</v>
      </c>
      <c r="H33" s="1"/>
      <c r="I33" s="1"/>
      <c r="J33" s="1"/>
      <c r="K33" s="1"/>
      <c r="L33" s="1"/>
    </row>
    <row r="34" spans="1:12" ht="21" customHeight="1">
      <c r="A34" s="20" t="s">
        <v>27</v>
      </c>
      <c r="B34" s="20" t="s">
        <v>27</v>
      </c>
      <c r="C34" s="20" t="s">
        <v>27</v>
      </c>
      <c r="D34" s="20" t="s">
        <v>27</v>
      </c>
      <c r="E34" s="20" t="s">
        <v>27</v>
      </c>
      <c r="F34" s="20" t="s">
        <v>27</v>
      </c>
      <c r="G34" s="20" t="s">
        <v>27</v>
      </c>
      <c r="H34" s="1"/>
      <c r="I34" s="1"/>
      <c r="J34" s="1"/>
      <c r="K34" s="1"/>
      <c r="L34" s="1"/>
    </row>
    <row r="35" spans="1:12" ht="21" customHeight="1">
      <c r="A35" s="20" t="s">
        <v>27</v>
      </c>
      <c r="B35" s="20" t="s">
        <v>27</v>
      </c>
      <c r="C35" s="20" t="s">
        <v>27</v>
      </c>
      <c r="D35" s="20" t="s">
        <v>27</v>
      </c>
      <c r="E35" s="20" t="s">
        <v>27</v>
      </c>
      <c r="F35" s="20" t="s">
        <v>27</v>
      </c>
      <c r="G35" s="20" t="s">
        <v>27</v>
      </c>
      <c r="H35" s="1"/>
      <c r="I35" s="1"/>
      <c r="J35" s="1"/>
      <c r="K35" s="1"/>
      <c r="L35" s="1"/>
    </row>
    <row r="36" spans="1:12" ht="21.9" customHeight="1">
      <c r="A36" s="18" t="s">
        <v>29</v>
      </c>
      <c r="B36" s="18" t="s">
        <v>29</v>
      </c>
      <c r="C36" s="18" t="s">
        <v>29</v>
      </c>
      <c r="D36" s="18" t="s">
        <v>29</v>
      </c>
      <c r="E36" s="18" t="s">
        <v>29</v>
      </c>
      <c r="F36" s="18" t="s">
        <v>29</v>
      </c>
      <c r="G36" s="18" t="s">
        <v>29</v>
      </c>
      <c r="H36" s="1"/>
      <c r="I36" s="1"/>
      <c r="J36" s="1"/>
      <c r="K36" s="1"/>
      <c r="L36" s="1"/>
    </row>
    <row r="37" spans="1:12" ht="21" customHeight="1">
      <c r="A37" s="19" t="s">
        <v>114</v>
      </c>
      <c r="B37" s="20" t="s">
        <v>27</v>
      </c>
      <c r="C37" s="20" t="s">
        <v>27</v>
      </c>
      <c r="D37" s="20" t="s">
        <v>27</v>
      </c>
      <c r="E37" s="20" t="s">
        <v>27</v>
      </c>
      <c r="F37" s="20" t="s">
        <v>27</v>
      </c>
      <c r="G37" s="20" t="s">
        <v>27</v>
      </c>
      <c r="H37" s="1"/>
      <c r="I37" s="1"/>
      <c r="J37" s="1"/>
      <c r="K37" s="1"/>
      <c r="L37" s="1"/>
    </row>
    <row r="38" spans="1:12" ht="21" customHeight="1">
      <c r="A38" s="20" t="s">
        <v>27</v>
      </c>
      <c r="B38" s="20" t="s">
        <v>27</v>
      </c>
      <c r="C38" s="20" t="s">
        <v>27</v>
      </c>
      <c r="D38" s="20" t="s">
        <v>27</v>
      </c>
      <c r="E38" s="20" t="s">
        <v>27</v>
      </c>
      <c r="F38" s="20" t="s">
        <v>27</v>
      </c>
      <c r="G38" s="20" t="s">
        <v>27</v>
      </c>
      <c r="H38" s="1"/>
      <c r="I38" s="1"/>
      <c r="J38" s="1"/>
      <c r="K38" s="1"/>
      <c r="L38" s="1"/>
    </row>
    <row r="39" spans="1:12" ht="21" customHeight="1">
      <c r="A39" s="20" t="s">
        <v>27</v>
      </c>
      <c r="B39" s="20" t="s">
        <v>27</v>
      </c>
      <c r="C39" s="20" t="s">
        <v>27</v>
      </c>
      <c r="D39" s="20" t="s">
        <v>27</v>
      </c>
      <c r="E39" s="20" t="s">
        <v>27</v>
      </c>
      <c r="F39" s="20" t="s">
        <v>27</v>
      </c>
      <c r="G39" s="20" t="s">
        <v>27</v>
      </c>
      <c r="H39" s="1"/>
      <c r="I39" s="1"/>
      <c r="J39" s="1"/>
      <c r="K39" s="1"/>
      <c r="L39" s="1"/>
    </row>
    <row r="40" spans="1:12" ht="21.9" customHeight="1">
      <c r="A40" s="18" t="s">
        <v>30</v>
      </c>
      <c r="B40" s="18" t="s">
        <v>30</v>
      </c>
      <c r="C40" s="18" t="s">
        <v>30</v>
      </c>
      <c r="D40" s="18" t="s">
        <v>30</v>
      </c>
      <c r="E40" s="18" t="s">
        <v>30</v>
      </c>
      <c r="F40" s="18" t="s">
        <v>30</v>
      </c>
      <c r="G40" s="18" t="s">
        <v>30</v>
      </c>
      <c r="H40" s="1"/>
      <c r="I40" s="1"/>
      <c r="J40" s="1"/>
      <c r="K40" s="1"/>
      <c r="L40" s="1"/>
    </row>
    <row r="41" spans="1:12" ht="21" customHeight="1">
      <c r="A41" s="19" t="s">
        <v>115</v>
      </c>
      <c r="B41" s="20" t="s">
        <v>27</v>
      </c>
      <c r="C41" s="20" t="s">
        <v>27</v>
      </c>
      <c r="D41" s="20" t="s">
        <v>27</v>
      </c>
      <c r="E41" s="20" t="s">
        <v>27</v>
      </c>
      <c r="F41" s="20" t="s">
        <v>27</v>
      </c>
      <c r="G41" s="20" t="s">
        <v>27</v>
      </c>
      <c r="H41" s="1"/>
      <c r="I41" s="1"/>
      <c r="J41" s="1"/>
      <c r="K41" s="1"/>
      <c r="L41" s="1"/>
    </row>
    <row r="42" spans="1:12" ht="21" customHeight="1">
      <c r="A42" s="20" t="s">
        <v>27</v>
      </c>
      <c r="B42" s="20" t="s">
        <v>27</v>
      </c>
      <c r="C42" s="20" t="s">
        <v>27</v>
      </c>
      <c r="D42" s="20" t="s">
        <v>27</v>
      </c>
      <c r="E42" s="20" t="s">
        <v>27</v>
      </c>
      <c r="F42" s="20" t="s">
        <v>27</v>
      </c>
      <c r="G42" s="20" t="s">
        <v>27</v>
      </c>
      <c r="H42" s="1"/>
      <c r="I42" s="1"/>
      <c r="J42" s="1"/>
      <c r="K42" s="1"/>
      <c r="L42" s="1"/>
    </row>
    <row r="43" spans="1:12" ht="21" customHeight="1">
      <c r="A43" s="20" t="s">
        <v>27</v>
      </c>
      <c r="B43" s="20" t="s">
        <v>27</v>
      </c>
      <c r="C43" s="20" t="s">
        <v>27</v>
      </c>
      <c r="D43" s="20" t="s">
        <v>27</v>
      </c>
      <c r="E43" s="20" t="s">
        <v>27</v>
      </c>
      <c r="F43" s="20" t="s">
        <v>27</v>
      </c>
      <c r="G43" s="20" t="s">
        <v>27</v>
      </c>
      <c r="H43" s="1"/>
      <c r="I43" s="1"/>
      <c r="J43" s="1"/>
      <c r="K43" s="1"/>
      <c r="L43" s="1"/>
    </row>
    <row r="44" spans="1:12" ht="21.9" customHeight="1">
      <c r="A44" s="18" t="s">
        <v>31</v>
      </c>
      <c r="B44" s="18" t="s">
        <v>31</v>
      </c>
      <c r="C44" s="18" t="s">
        <v>31</v>
      </c>
      <c r="D44" s="18" t="s">
        <v>31</v>
      </c>
      <c r="E44" s="18" t="s">
        <v>31</v>
      </c>
      <c r="F44" s="18" t="s">
        <v>31</v>
      </c>
      <c r="G44" s="18" t="s">
        <v>31</v>
      </c>
      <c r="H44" s="1"/>
      <c r="I44" s="1"/>
      <c r="J44" s="1"/>
      <c r="K44" s="1"/>
      <c r="L44" s="1"/>
    </row>
    <row r="45" spans="1:12" ht="21" customHeight="1">
      <c r="A45" s="19" t="s">
        <v>113</v>
      </c>
      <c r="B45" s="20" t="s">
        <v>27</v>
      </c>
      <c r="C45" s="20" t="s">
        <v>27</v>
      </c>
      <c r="D45" s="20" t="s">
        <v>27</v>
      </c>
      <c r="E45" s="20" t="s">
        <v>27</v>
      </c>
      <c r="F45" s="20" t="s">
        <v>27</v>
      </c>
      <c r="G45" s="20" t="s">
        <v>27</v>
      </c>
      <c r="H45" s="1"/>
      <c r="I45" s="1"/>
      <c r="J45" s="1"/>
      <c r="K45" s="1"/>
      <c r="L45" s="1"/>
    </row>
    <row r="46" spans="1:12" ht="21" customHeight="1">
      <c r="A46" s="20" t="s">
        <v>27</v>
      </c>
      <c r="B46" s="20" t="s">
        <v>27</v>
      </c>
      <c r="C46" s="20" t="s">
        <v>27</v>
      </c>
      <c r="D46" s="20" t="s">
        <v>27</v>
      </c>
      <c r="E46" s="20" t="s">
        <v>27</v>
      </c>
      <c r="F46" s="20" t="s">
        <v>27</v>
      </c>
      <c r="G46" s="20" t="s">
        <v>27</v>
      </c>
      <c r="H46" s="1"/>
      <c r="I46" s="1"/>
      <c r="J46" s="1"/>
      <c r="K46" s="1"/>
      <c r="L46" s="1"/>
    </row>
    <row r="47" spans="1:12" ht="21" customHeight="1">
      <c r="A47" s="20" t="s">
        <v>27</v>
      </c>
      <c r="B47" s="20" t="s">
        <v>27</v>
      </c>
      <c r="C47" s="20" t="s">
        <v>27</v>
      </c>
      <c r="D47" s="20" t="s">
        <v>27</v>
      </c>
      <c r="E47" s="20" t="s">
        <v>27</v>
      </c>
      <c r="F47" s="20" t="s">
        <v>27</v>
      </c>
      <c r="G47" s="20" t="s">
        <v>27</v>
      </c>
      <c r="H47" s="1"/>
      <c r="I47" s="1"/>
      <c r="J47" s="1"/>
      <c r="K47" s="1"/>
      <c r="L47" s="1"/>
    </row>
    <row r="48" spans="1:12" ht="21.9" customHeight="1">
      <c r="A48" s="1"/>
      <c r="B48" s="1"/>
      <c r="C48" s="1"/>
      <c r="D48" s="1"/>
      <c r="E48" s="1"/>
      <c r="F48" s="1"/>
      <c r="G48" s="1"/>
      <c r="H48" s="1"/>
      <c r="I48" s="1"/>
      <c r="J48" s="1"/>
      <c r="K48" s="1"/>
      <c r="L48" s="1"/>
    </row>
    <row r="49" spans="1:12" ht="21.9" customHeight="1">
      <c r="A49" s="25" t="s">
        <v>32</v>
      </c>
      <c r="B49" s="17" t="s">
        <v>32</v>
      </c>
      <c r="C49" s="17" t="s">
        <v>32</v>
      </c>
      <c r="D49" s="17" t="s">
        <v>32</v>
      </c>
      <c r="E49" s="17" t="s">
        <v>32</v>
      </c>
      <c r="F49" s="17" t="s">
        <v>32</v>
      </c>
      <c r="G49" s="17" t="s">
        <v>32</v>
      </c>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mergeCells count="29">
    <mergeCell ref="A44:G44"/>
    <mergeCell ref="A45:G47"/>
    <mergeCell ref="A49:G49"/>
    <mergeCell ref="A33:G35"/>
    <mergeCell ref="A36:G36"/>
    <mergeCell ref="A37:G39"/>
    <mergeCell ref="A40:G40"/>
    <mergeCell ref="A41:G43"/>
    <mergeCell ref="A21:G23"/>
    <mergeCell ref="A26:G26"/>
    <mergeCell ref="A28:G28"/>
    <mergeCell ref="A29:G31"/>
    <mergeCell ref="A32:G32"/>
    <mergeCell ref="E12:G12"/>
    <mergeCell ref="E13:G13"/>
    <mergeCell ref="A15:B15"/>
    <mergeCell ref="E15:G16"/>
    <mergeCell ref="A18:G19"/>
    <mergeCell ref="A6:G6"/>
    <mergeCell ref="E8:G8"/>
    <mergeCell ref="E9:G9"/>
    <mergeCell ref="E10:G10"/>
    <mergeCell ref="E11:G11"/>
    <mergeCell ref="A2:G2"/>
    <mergeCell ref="A3:G3"/>
    <mergeCell ref="A4:B4"/>
    <mergeCell ref="C4:G4"/>
    <mergeCell ref="A5:B5"/>
    <mergeCell ref="C5:G5"/>
  </mergeCells>
  <pageMargins left="0.3" right="0.3" top="0.3" bottom="0.3" header="0.3" footer="0.3"/>
  <pageSetup fitToHeight="0" orientation="landscape" r:id="rId1"/>
  <rowBreaks count="1" manualBreakCount="1">
    <brk id="2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1A6C-3188-41B5-872E-4E0B99FF0989}">
  <sheetPr>
    <tabColor rgb="FFFFC000"/>
  </sheetPr>
  <dimension ref="A1:L21"/>
  <sheetViews>
    <sheetView zoomScale="130" zoomScaleNormal="130" workbookViewId="0">
      <selection activeCell="I2" sqref="I2"/>
    </sheetView>
  </sheetViews>
  <sheetFormatPr defaultRowHeight="13.8"/>
  <cols>
    <col min="1" max="1" width="9.59765625" bestFit="1" customWidth="1"/>
    <col min="2" max="2" width="13" bestFit="1" customWidth="1"/>
    <col min="3" max="3" width="16.296875" bestFit="1" customWidth="1"/>
    <col min="4" max="4" width="8.3984375" bestFit="1" customWidth="1"/>
    <col min="5" max="5" width="20.09765625" bestFit="1" customWidth="1"/>
    <col min="6" max="6" width="13.8984375" bestFit="1" customWidth="1"/>
    <col min="7" max="7" width="22.59765625" bestFit="1" customWidth="1"/>
    <col min="8" max="12" width="6.296875" bestFit="1" customWidth="1"/>
  </cols>
  <sheetData>
    <row r="1" spans="1:12">
      <c r="A1" t="s">
        <v>33</v>
      </c>
      <c r="B1" t="s">
        <v>34</v>
      </c>
      <c r="C1" t="s">
        <v>35</v>
      </c>
      <c r="D1" t="s">
        <v>36</v>
      </c>
      <c r="E1" t="s">
        <v>37</v>
      </c>
      <c r="F1" t="s">
        <v>38</v>
      </c>
      <c r="G1" t="s">
        <v>109</v>
      </c>
      <c r="H1" t="s">
        <v>11</v>
      </c>
      <c r="I1" t="s">
        <v>13</v>
      </c>
      <c r="J1" t="s">
        <v>15</v>
      </c>
      <c r="K1" t="s">
        <v>17</v>
      </c>
      <c r="L1" t="s">
        <v>19</v>
      </c>
    </row>
    <row r="2" spans="1:12">
      <c r="A2" t="s">
        <v>39</v>
      </c>
      <c r="B2" t="s">
        <v>40</v>
      </c>
      <c r="C2" t="s">
        <v>41</v>
      </c>
      <c r="D2" t="s">
        <v>42</v>
      </c>
      <c r="E2">
        <v>20</v>
      </c>
      <c r="F2" t="s">
        <v>43</v>
      </c>
      <c r="G2">
        <v>1</v>
      </c>
      <c r="H2">
        <v>0</v>
      </c>
      <c r="I2">
        <v>0</v>
      </c>
      <c r="J2">
        <v>0</v>
      </c>
      <c r="K2">
        <v>0</v>
      </c>
      <c r="L2">
        <v>0</v>
      </c>
    </row>
    <row r="3" spans="1:12">
      <c r="A3" t="s">
        <v>44</v>
      </c>
      <c r="B3" t="s">
        <v>45</v>
      </c>
      <c r="C3" t="s">
        <v>46</v>
      </c>
      <c r="D3" t="s">
        <v>47</v>
      </c>
      <c r="E3">
        <v>11</v>
      </c>
      <c r="F3" t="s">
        <v>48</v>
      </c>
      <c r="G3">
        <v>1</v>
      </c>
      <c r="H3">
        <v>0</v>
      </c>
      <c r="I3">
        <v>0</v>
      </c>
      <c r="J3">
        <v>0</v>
      </c>
      <c r="K3">
        <v>0</v>
      </c>
      <c r="L3">
        <v>0</v>
      </c>
    </row>
    <row r="4" spans="1:12">
      <c r="A4" t="s">
        <v>49</v>
      </c>
      <c r="C4" t="s">
        <v>50</v>
      </c>
      <c r="D4" t="s">
        <v>42</v>
      </c>
      <c r="E4">
        <v>12</v>
      </c>
      <c r="G4">
        <v>1</v>
      </c>
      <c r="H4">
        <v>1</v>
      </c>
      <c r="I4">
        <v>0</v>
      </c>
      <c r="J4">
        <v>0</v>
      </c>
      <c r="K4">
        <v>0</v>
      </c>
      <c r="L4">
        <v>1</v>
      </c>
    </row>
    <row r="5" spans="1:12">
      <c r="A5" t="s">
        <v>51</v>
      </c>
      <c r="B5" t="s">
        <v>52</v>
      </c>
      <c r="C5" t="s">
        <v>53</v>
      </c>
      <c r="D5" t="s">
        <v>42</v>
      </c>
      <c r="E5">
        <v>13</v>
      </c>
      <c r="F5" t="s">
        <v>55</v>
      </c>
      <c r="G5">
        <v>1</v>
      </c>
      <c r="H5">
        <v>0</v>
      </c>
      <c r="I5">
        <v>0</v>
      </c>
      <c r="J5">
        <v>0</v>
      </c>
      <c r="K5">
        <v>0</v>
      </c>
      <c r="L5">
        <v>0</v>
      </c>
    </row>
    <row r="6" spans="1:12">
      <c r="A6" t="s">
        <v>56</v>
      </c>
      <c r="B6" t="s">
        <v>57</v>
      </c>
      <c r="C6" t="s">
        <v>58</v>
      </c>
      <c r="D6" t="s">
        <v>47</v>
      </c>
      <c r="E6">
        <v>14</v>
      </c>
      <c r="F6" t="s">
        <v>43</v>
      </c>
      <c r="G6">
        <v>2</v>
      </c>
      <c r="H6">
        <v>0</v>
      </c>
      <c r="I6">
        <v>1</v>
      </c>
      <c r="J6">
        <v>0</v>
      </c>
      <c r="K6">
        <v>0</v>
      </c>
      <c r="L6">
        <v>0</v>
      </c>
    </row>
    <row r="7" spans="1:12">
      <c r="A7" t="s">
        <v>59</v>
      </c>
      <c r="B7" t="s">
        <v>60</v>
      </c>
      <c r="C7" t="s">
        <v>58</v>
      </c>
      <c r="D7" t="s">
        <v>61</v>
      </c>
      <c r="E7">
        <v>15</v>
      </c>
      <c r="F7" t="s">
        <v>48</v>
      </c>
      <c r="G7">
        <v>2</v>
      </c>
      <c r="H7">
        <v>0</v>
      </c>
      <c r="I7">
        <v>1</v>
      </c>
      <c r="J7">
        <v>0</v>
      </c>
      <c r="K7">
        <v>0</v>
      </c>
      <c r="L7">
        <v>0</v>
      </c>
    </row>
    <row r="8" spans="1:12">
      <c r="A8" t="s">
        <v>62</v>
      </c>
      <c r="B8" t="s">
        <v>63</v>
      </c>
      <c r="C8" t="s">
        <v>64</v>
      </c>
      <c r="D8" t="s">
        <v>42</v>
      </c>
      <c r="E8">
        <v>16</v>
      </c>
      <c r="G8">
        <v>1</v>
      </c>
      <c r="H8">
        <v>0</v>
      </c>
      <c r="I8">
        <v>0</v>
      </c>
      <c r="J8">
        <v>0</v>
      </c>
      <c r="K8">
        <v>0</v>
      </c>
      <c r="L8">
        <v>1</v>
      </c>
    </row>
    <row r="9" spans="1:12">
      <c r="A9" t="s">
        <v>65</v>
      </c>
      <c r="B9" t="s">
        <v>66</v>
      </c>
      <c r="C9" t="s">
        <v>67</v>
      </c>
      <c r="D9" t="s">
        <v>68</v>
      </c>
      <c r="E9">
        <v>17</v>
      </c>
      <c r="F9" t="s">
        <v>55</v>
      </c>
      <c r="G9">
        <v>1</v>
      </c>
      <c r="H9">
        <v>0</v>
      </c>
      <c r="I9">
        <v>0</v>
      </c>
      <c r="J9">
        <v>1</v>
      </c>
      <c r="K9">
        <v>0</v>
      </c>
      <c r="L9">
        <v>0</v>
      </c>
    </row>
    <row r="10" spans="1:12">
      <c r="A10" t="s">
        <v>69</v>
      </c>
      <c r="B10" t="s">
        <v>70</v>
      </c>
      <c r="C10" t="s">
        <v>71</v>
      </c>
      <c r="D10" t="s">
        <v>61</v>
      </c>
      <c r="E10">
        <v>18</v>
      </c>
      <c r="F10" t="s">
        <v>43</v>
      </c>
      <c r="G10">
        <v>1</v>
      </c>
      <c r="H10">
        <v>0</v>
      </c>
      <c r="I10">
        <v>0</v>
      </c>
      <c r="J10">
        <v>0</v>
      </c>
      <c r="K10">
        <v>0</v>
      </c>
      <c r="L10">
        <v>0</v>
      </c>
    </row>
    <row r="11" spans="1:12">
      <c r="A11" t="s">
        <v>72</v>
      </c>
      <c r="B11" t="s">
        <v>73</v>
      </c>
      <c r="C11" t="s">
        <v>74</v>
      </c>
      <c r="D11" t="s">
        <v>42</v>
      </c>
      <c r="E11">
        <v>0</v>
      </c>
      <c r="F11" t="s">
        <v>48</v>
      </c>
      <c r="G11">
        <v>1</v>
      </c>
      <c r="H11">
        <v>0</v>
      </c>
      <c r="I11">
        <v>0</v>
      </c>
      <c r="J11">
        <v>0</v>
      </c>
      <c r="K11">
        <v>1</v>
      </c>
      <c r="L11">
        <v>0</v>
      </c>
    </row>
    <row r="12" spans="1:12">
      <c r="A12" t="s">
        <v>75</v>
      </c>
      <c r="B12" t="s">
        <v>76</v>
      </c>
      <c r="C12" t="s">
        <v>77</v>
      </c>
      <c r="D12" t="s">
        <v>47</v>
      </c>
      <c r="E12">
        <v>20</v>
      </c>
      <c r="F12" t="s">
        <v>79</v>
      </c>
      <c r="G12">
        <v>1</v>
      </c>
      <c r="H12">
        <v>0</v>
      </c>
      <c r="I12">
        <v>0</v>
      </c>
      <c r="J12">
        <v>0</v>
      </c>
      <c r="K12">
        <v>0</v>
      </c>
      <c r="L12">
        <v>0</v>
      </c>
    </row>
    <row r="13" spans="1:12">
      <c r="A13" t="s">
        <v>80</v>
      </c>
      <c r="B13" t="s">
        <v>81</v>
      </c>
      <c r="C13" t="s">
        <v>82</v>
      </c>
      <c r="D13" t="s">
        <v>42</v>
      </c>
      <c r="E13">
        <v>21</v>
      </c>
      <c r="G13">
        <v>1</v>
      </c>
      <c r="H13">
        <v>0</v>
      </c>
      <c r="I13">
        <v>0</v>
      </c>
      <c r="J13">
        <v>0</v>
      </c>
      <c r="K13">
        <v>0</v>
      </c>
      <c r="L13">
        <v>1</v>
      </c>
    </row>
    <row r="14" spans="1:12">
      <c r="A14" t="s">
        <v>83</v>
      </c>
      <c r="B14" t="s">
        <v>84</v>
      </c>
      <c r="C14" t="s">
        <v>85</v>
      </c>
      <c r="D14" t="s">
        <v>42</v>
      </c>
      <c r="E14">
        <v>22</v>
      </c>
      <c r="F14" t="s">
        <v>43</v>
      </c>
      <c r="G14">
        <v>1</v>
      </c>
      <c r="H14">
        <v>0</v>
      </c>
      <c r="I14">
        <v>0</v>
      </c>
      <c r="J14">
        <v>0</v>
      </c>
      <c r="K14">
        <v>0</v>
      </c>
      <c r="L14">
        <v>0</v>
      </c>
    </row>
    <row r="15" spans="1:12">
      <c r="A15" t="s">
        <v>86</v>
      </c>
      <c r="C15" t="s">
        <v>87</v>
      </c>
      <c r="D15" t="s">
        <v>47</v>
      </c>
      <c r="E15">
        <v>23</v>
      </c>
      <c r="F15" t="s">
        <v>48</v>
      </c>
      <c r="G15">
        <v>1</v>
      </c>
      <c r="H15">
        <v>1</v>
      </c>
      <c r="I15">
        <v>0</v>
      </c>
      <c r="J15">
        <v>0</v>
      </c>
      <c r="K15">
        <v>0</v>
      </c>
      <c r="L15">
        <v>0</v>
      </c>
    </row>
    <row r="16" spans="1:12">
      <c r="A16" t="s">
        <v>88</v>
      </c>
      <c r="B16" t="s">
        <v>89</v>
      </c>
      <c r="C16" t="s">
        <v>90</v>
      </c>
      <c r="D16" t="s">
        <v>61</v>
      </c>
      <c r="E16">
        <v>24</v>
      </c>
      <c r="F16" t="s">
        <v>79</v>
      </c>
      <c r="G16">
        <v>1</v>
      </c>
      <c r="H16">
        <v>0</v>
      </c>
      <c r="I16">
        <v>0</v>
      </c>
      <c r="J16">
        <v>0</v>
      </c>
      <c r="K16">
        <v>0</v>
      </c>
      <c r="L16">
        <v>0</v>
      </c>
    </row>
    <row r="17" spans="1:12">
      <c r="A17" t="s">
        <v>91</v>
      </c>
      <c r="B17" t="s">
        <v>92</v>
      </c>
      <c r="C17" t="s">
        <v>93</v>
      </c>
      <c r="D17" t="s">
        <v>94</v>
      </c>
      <c r="E17">
        <v>25</v>
      </c>
      <c r="F17" t="s">
        <v>55</v>
      </c>
      <c r="G17">
        <v>1</v>
      </c>
      <c r="H17">
        <v>0</v>
      </c>
      <c r="I17">
        <v>0</v>
      </c>
      <c r="J17">
        <v>0</v>
      </c>
      <c r="K17">
        <v>0</v>
      </c>
      <c r="L17">
        <v>0</v>
      </c>
    </row>
    <row r="18" spans="1:12">
      <c r="A18" t="s">
        <v>95</v>
      </c>
      <c r="B18" t="s">
        <v>96</v>
      </c>
      <c r="C18" t="s">
        <v>97</v>
      </c>
      <c r="D18" t="s">
        <v>47</v>
      </c>
      <c r="E18">
        <v>26</v>
      </c>
      <c r="G18">
        <v>1</v>
      </c>
      <c r="H18">
        <v>0</v>
      </c>
      <c r="I18">
        <v>0</v>
      </c>
      <c r="J18">
        <v>0</v>
      </c>
      <c r="K18">
        <v>0</v>
      </c>
      <c r="L18">
        <v>0</v>
      </c>
    </row>
    <row r="19" spans="1:12">
      <c r="A19" t="s">
        <v>98</v>
      </c>
      <c r="B19" t="s">
        <v>99</v>
      </c>
      <c r="C19" t="s">
        <v>100</v>
      </c>
      <c r="D19" t="s">
        <v>61</v>
      </c>
      <c r="E19">
        <v>75</v>
      </c>
      <c r="F19" t="s">
        <v>48</v>
      </c>
      <c r="G19">
        <v>1</v>
      </c>
      <c r="H19">
        <v>0</v>
      </c>
      <c r="I19">
        <v>0</v>
      </c>
      <c r="J19">
        <v>0</v>
      </c>
      <c r="K19">
        <v>0</v>
      </c>
      <c r="L19">
        <v>0</v>
      </c>
    </row>
    <row r="20" spans="1:12">
      <c r="A20" t="s">
        <v>101</v>
      </c>
      <c r="B20" t="s">
        <v>102</v>
      </c>
      <c r="C20" t="s">
        <v>103</v>
      </c>
      <c r="D20" t="s">
        <v>42</v>
      </c>
      <c r="E20">
        <v>28</v>
      </c>
      <c r="F20" t="s">
        <v>79</v>
      </c>
      <c r="G20">
        <v>1</v>
      </c>
      <c r="H20">
        <v>0</v>
      </c>
      <c r="I20">
        <v>0</v>
      </c>
      <c r="J20">
        <v>0</v>
      </c>
      <c r="K20">
        <v>0</v>
      </c>
      <c r="L20">
        <v>0</v>
      </c>
    </row>
    <row r="21" spans="1:12">
      <c r="A21" t="s">
        <v>104</v>
      </c>
      <c r="B21" t="s">
        <v>105</v>
      </c>
      <c r="C21" t="s">
        <v>106</v>
      </c>
      <c r="D21" t="s">
        <v>47</v>
      </c>
      <c r="F21" t="s">
        <v>55</v>
      </c>
      <c r="G21">
        <v>1</v>
      </c>
      <c r="H21">
        <v>0</v>
      </c>
      <c r="I21">
        <v>0</v>
      </c>
      <c r="J21">
        <v>0</v>
      </c>
      <c r="K21">
        <v>1</v>
      </c>
      <c r="L21">
        <v>0</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4400-86CB-45B6-A775-BC6757F49849}">
  <dimension ref="A1:B20"/>
  <sheetViews>
    <sheetView workbookViewId="0"/>
  </sheetViews>
  <sheetFormatPr defaultRowHeight="13.8"/>
  <cols>
    <col min="1" max="1" width="16.59765625" bestFit="1" customWidth="1"/>
    <col min="2" max="2" width="12.3984375" bestFit="1" customWidth="1"/>
  </cols>
  <sheetData>
    <row r="1" spans="1:2">
      <c r="A1" t="s">
        <v>35</v>
      </c>
      <c r="B1" t="s">
        <v>110</v>
      </c>
    </row>
    <row r="2" spans="1:2">
      <c r="A2" t="s">
        <v>41</v>
      </c>
      <c r="B2">
        <v>1</v>
      </c>
    </row>
    <row r="3" spans="1:2">
      <c r="A3" t="s">
        <v>46</v>
      </c>
      <c r="B3">
        <v>1</v>
      </c>
    </row>
    <row r="4" spans="1:2">
      <c r="A4" t="s">
        <v>50</v>
      </c>
      <c r="B4">
        <v>1</v>
      </c>
    </row>
    <row r="5" spans="1:2">
      <c r="A5" t="s">
        <v>53</v>
      </c>
      <c r="B5">
        <v>1</v>
      </c>
    </row>
    <row r="6" spans="1:2">
      <c r="A6" t="s">
        <v>58</v>
      </c>
      <c r="B6">
        <v>2</v>
      </c>
    </row>
    <row r="7" spans="1:2">
      <c r="A7" t="s">
        <v>64</v>
      </c>
      <c r="B7">
        <v>1</v>
      </c>
    </row>
    <row r="8" spans="1:2">
      <c r="A8" t="s">
        <v>67</v>
      </c>
      <c r="B8">
        <v>1</v>
      </c>
    </row>
    <row r="9" spans="1:2">
      <c r="A9" t="s">
        <v>71</v>
      </c>
      <c r="B9">
        <v>1</v>
      </c>
    </row>
    <row r="10" spans="1:2">
      <c r="A10" t="s">
        <v>74</v>
      </c>
      <c r="B10">
        <v>1</v>
      </c>
    </row>
    <row r="11" spans="1:2">
      <c r="A11" t="s">
        <v>77</v>
      </c>
      <c r="B11">
        <v>1</v>
      </c>
    </row>
    <row r="12" spans="1:2">
      <c r="A12" t="s">
        <v>82</v>
      </c>
      <c r="B12">
        <v>1</v>
      </c>
    </row>
    <row r="13" spans="1:2">
      <c r="A13" t="s">
        <v>85</v>
      </c>
      <c r="B13">
        <v>1</v>
      </c>
    </row>
    <row r="14" spans="1:2">
      <c r="A14" t="s">
        <v>87</v>
      </c>
      <c r="B14">
        <v>1</v>
      </c>
    </row>
    <row r="15" spans="1:2">
      <c r="A15" t="s">
        <v>90</v>
      </c>
      <c r="B15">
        <v>1</v>
      </c>
    </row>
    <row r="16" spans="1:2">
      <c r="A16" t="s">
        <v>93</v>
      </c>
      <c r="B16">
        <v>1</v>
      </c>
    </row>
    <row r="17" spans="1:2">
      <c r="A17" t="s">
        <v>97</v>
      </c>
      <c r="B17">
        <v>1</v>
      </c>
    </row>
    <row r="18" spans="1:2">
      <c r="A18" t="s">
        <v>100</v>
      </c>
      <c r="B18">
        <v>1</v>
      </c>
    </row>
    <row r="19" spans="1:2">
      <c r="A19" t="s">
        <v>103</v>
      </c>
      <c r="B19">
        <v>1</v>
      </c>
    </row>
    <row r="20" spans="1:2">
      <c r="A20" t="s">
        <v>106</v>
      </c>
      <c r="B20">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C3D3-009E-4FEB-9583-537B9456B3FA}">
  <dimension ref="A1:F21"/>
  <sheetViews>
    <sheetView workbookViewId="0"/>
  </sheetViews>
  <sheetFormatPr defaultRowHeight="13.8"/>
  <cols>
    <col min="1" max="1" width="9.59765625" bestFit="1" customWidth="1"/>
    <col min="2" max="2" width="13.19921875" bestFit="1" customWidth="1"/>
    <col min="3" max="3" width="16.59765625" bestFit="1" customWidth="1"/>
    <col min="4" max="4" width="8.5" bestFit="1" customWidth="1"/>
    <col min="5" max="5" width="20.5" bestFit="1" customWidth="1"/>
    <col min="6" max="6" width="14.09765625" bestFit="1" customWidth="1"/>
  </cols>
  <sheetData>
    <row r="1" spans="1:6">
      <c r="A1" t="s">
        <v>33</v>
      </c>
      <c r="B1" t="s">
        <v>34</v>
      </c>
      <c r="C1" t="s">
        <v>35</v>
      </c>
      <c r="D1" t="s">
        <v>36</v>
      </c>
      <c r="E1" t="s">
        <v>37</v>
      </c>
      <c r="F1" t="s">
        <v>38</v>
      </c>
    </row>
    <row r="2" spans="1:6">
      <c r="A2" t="s">
        <v>39</v>
      </c>
      <c r="B2" t="s">
        <v>40</v>
      </c>
      <c r="C2" t="s">
        <v>41</v>
      </c>
      <c r="D2" t="s">
        <v>42</v>
      </c>
      <c r="E2">
        <v>20</v>
      </c>
      <c r="F2" t="s">
        <v>43</v>
      </c>
    </row>
    <row r="3" spans="1:6">
      <c r="A3" t="s">
        <v>44</v>
      </c>
      <c r="B3" t="s">
        <v>45</v>
      </c>
      <c r="C3" t="s">
        <v>46</v>
      </c>
      <c r="D3" t="s">
        <v>47</v>
      </c>
      <c r="E3">
        <v>11</v>
      </c>
      <c r="F3" t="s">
        <v>48</v>
      </c>
    </row>
    <row r="4" spans="1:6">
      <c r="A4" t="s">
        <v>49</v>
      </c>
      <c r="C4" t="s">
        <v>50</v>
      </c>
      <c r="D4" t="s">
        <v>42</v>
      </c>
      <c r="E4">
        <v>12</v>
      </c>
    </row>
    <row r="5" spans="1:6">
      <c r="A5" t="s">
        <v>51</v>
      </c>
      <c r="B5" t="s">
        <v>52</v>
      </c>
      <c r="C5" t="s">
        <v>53</v>
      </c>
      <c r="D5" t="s">
        <v>54</v>
      </c>
      <c r="E5">
        <v>13</v>
      </c>
      <c r="F5" t="s">
        <v>55</v>
      </c>
    </row>
    <row r="6" spans="1:6">
      <c r="A6" t="s">
        <v>56</v>
      </c>
      <c r="B6" t="s">
        <v>57</v>
      </c>
      <c r="C6" t="s">
        <v>58</v>
      </c>
      <c r="D6" t="s">
        <v>47</v>
      </c>
      <c r="E6">
        <v>14</v>
      </c>
      <c r="F6" t="s">
        <v>43</v>
      </c>
    </row>
    <row r="7" spans="1:6">
      <c r="A7" t="s">
        <v>59</v>
      </c>
      <c r="B7" t="s">
        <v>60</v>
      </c>
      <c r="C7" t="s">
        <v>58</v>
      </c>
      <c r="D7" t="s">
        <v>61</v>
      </c>
      <c r="E7">
        <v>15</v>
      </c>
      <c r="F7" t="s">
        <v>48</v>
      </c>
    </row>
    <row r="8" spans="1:6">
      <c r="A8" t="s">
        <v>62</v>
      </c>
      <c r="B8" t="s">
        <v>63</v>
      </c>
      <c r="C8" t="s">
        <v>64</v>
      </c>
      <c r="D8" t="s">
        <v>42</v>
      </c>
      <c r="E8">
        <v>16</v>
      </c>
    </row>
    <row r="9" spans="1:6">
      <c r="A9" t="s">
        <v>65</v>
      </c>
      <c r="B9" t="s">
        <v>66</v>
      </c>
      <c r="C9" t="s">
        <v>67</v>
      </c>
      <c r="D9" t="s">
        <v>68</v>
      </c>
      <c r="E9">
        <v>17</v>
      </c>
      <c r="F9" t="s">
        <v>55</v>
      </c>
    </row>
    <row r="10" spans="1:6">
      <c r="A10" t="s">
        <v>69</v>
      </c>
      <c r="B10" t="s">
        <v>70</v>
      </c>
      <c r="C10" t="s">
        <v>71</v>
      </c>
      <c r="D10" t="s">
        <v>61</v>
      </c>
      <c r="E10">
        <v>18</v>
      </c>
      <c r="F10" t="s">
        <v>43</v>
      </c>
    </row>
    <row r="11" spans="1:6">
      <c r="A11" t="s">
        <v>72</v>
      </c>
      <c r="B11" t="s">
        <v>73</v>
      </c>
      <c r="C11" t="s">
        <v>74</v>
      </c>
      <c r="D11" t="s">
        <v>42</v>
      </c>
      <c r="E11">
        <v>0</v>
      </c>
      <c r="F11" t="s">
        <v>48</v>
      </c>
    </row>
    <row r="12" spans="1:6">
      <c r="A12" t="s">
        <v>75</v>
      </c>
      <c r="B12" t="s">
        <v>76</v>
      </c>
      <c r="C12" t="s">
        <v>77</v>
      </c>
      <c r="D12" t="s">
        <v>78</v>
      </c>
      <c r="E12">
        <v>20</v>
      </c>
      <c r="F12" t="s">
        <v>79</v>
      </c>
    </row>
    <row r="13" spans="1:6">
      <c r="A13" t="s">
        <v>80</v>
      </c>
      <c r="B13" t="s">
        <v>81</v>
      </c>
      <c r="C13" t="s">
        <v>82</v>
      </c>
      <c r="D13" t="s">
        <v>42</v>
      </c>
      <c r="E13">
        <v>21</v>
      </c>
    </row>
    <row r="14" spans="1:6">
      <c r="A14" t="s">
        <v>83</v>
      </c>
      <c r="B14" t="s">
        <v>84</v>
      </c>
      <c r="C14" t="s">
        <v>85</v>
      </c>
      <c r="D14" t="s">
        <v>42</v>
      </c>
      <c r="E14">
        <v>22</v>
      </c>
      <c r="F14" t="s">
        <v>43</v>
      </c>
    </row>
    <row r="15" spans="1:6">
      <c r="A15" t="s">
        <v>86</v>
      </c>
      <c r="C15" t="s">
        <v>87</v>
      </c>
      <c r="D15" t="s">
        <v>47</v>
      </c>
      <c r="E15">
        <v>23</v>
      </c>
      <c r="F15" t="s">
        <v>48</v>
      </c>
    </row>
    <row r="16" spans="1:6">
      <c r="A16" t="s">
        <v>88</v>
      </c>
      <c r="B16" t="s">
        <v>89</v>
      </c>
      <c r="C16" t="s">
        <v>90</v>
      </c>
      <c r="D16" t="s">
        <v>61</v>
      </c>
      <c r="E16">
        <v>24</v>
      </c>
      <c r="F16" t="s">
        <v>79</v>
      </c>
    </row>
    <row r="17" spans="1:6">
      <c r="A17" t="s">
        <v>91</v>
      </c>
      <c r="B17" t="s">
        <v>92</v>
      </c>
      <c r="C17" t="s">
        <v>93</v>
      </c>
      <c r="D17" t="s">
        <v>94</v>
      </c>
      <c r="E17">
        <v>25</v>
      </c>
      <c r="F17" t="s">
        <v>55</v>
      </c>
    </row>
    <row r="18" spans="1:6">
      <c r="A18" t="s">
        <v>95</v>
      </c>
      <c r="B18" t="s">
        <v>96</v>
      </c>
      <c r="C18" t="s">
        <v>97</v>
      </c>
      <c r="D18" t="s">
        <v>47</v>
      </c>
      <c r="E18">
        <v>26</v>
      </c>
    </row>
    <row r="19" spans="1:6">
      <c r="A19" t="s">
        <v>98</v>
      </c>
      <c r="B19" t="s">
        <v>99</v>
      </c>
      <c r="C19" t="s">
        <v>100</v>
      </c>
      <c r="D19" t="s">
        <v>61</v>
      </c>
      <c r="E19">
        <v>75</v>
      </c>
      <c r="F19" t="s">
        <v>48</v>
      </c>
    </row>
    <row r="20" spans="1:6">
      <c r="A20" t="s">
        <v>101</v>
      </c>
      <c r="B20" t="s">
        <v>102</v>
      </c>
      <c r="C20" t="s">
        <v>103</v>
      </c>
      <c r="D20" t="s">
        <v>42</v>
      </c>
      <c r="E20">
        <v>28</v>
      </c>
      <c r="F20" t="s">
        <v>79</v>
      </c>
    </row>
    <row r="21" spans="1:6">
      <c r="A21" t="s">
        <v>104</v>
      </c>
      <c r="B21" t="s">
        <v>105</v>
      </c>
      <c r="C21" t="s">
        <v>106</v>
      </c>
      <c r="D21" t="s">
        <v>47</v>
      </c>
      <c r="F21" t="s">
        <v>55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0B280"/>
  </sheetPr>
  <dimension ref="A1:L52"/>
  <sheetViews>
    <sheetView showGridLines="0" workbookViewId="0">
      <pane ySplit="1" topLeftCell="A2" activePane="bottomLeft" state="frozen"/>
      <selection pane="bottomLeft" activeCell="A2" sqref="A2:F21"/>
    </sheetView>
  </sheetViews>
  <sheetFormatPr defaultRowHeight="13.8"/>
  <cols>
    <col min="1" max="6" width="22" customWidth="1"/>
  </cols>
  <sheetData>
    <row r="1" spans="1:12" ht="38.1" customHeight="1">
      <c r="A1" s="4" t="s">
        <v>33</v>
      </c>
      <c r="B1" s="5" t="s">
        <v>34</v>
      </c>
      <c r="C1" s="5" t="s">
        <v>35</v>
      </c>
      <c r="D1" s="5" t="s">
        <v>36</v>
      </c>
      <c r="E1" s="5" t="s">
        <v>37</v>
      </c>
      <c r="F1" s="6" t="s">
        <v>38</v>
      </c>
      <c r="G1" s="1"/>
      <c r="H1" s="1"/>
      <c r="I1" s="1"/>
      <c r="J1" s="1"/>
      <c r="K1" s="1"/>
      <c r="L1" s="1"/>
    </row>
    <row r="2" spans="1:12" ht="24" customHeight="1">
      <c r="A2" s="7" t="s">
        <v>39</v>
      </c>
      <c r="B2" s="8" t="s">
        <v>40</v>
      </c>
      <c r="C2" s="8" t="s">
        <v>41</v>
      </c>
      <c r="D2" s="8" t="s">
        <v>42</v>
      </c>
      <c r="E2" s="8">
        <v>20</v>
      </c>
      <c r="F2" s="9" t="s">
        <v>43</v>
      </c>
      <c r="G2" s="1"/>
      <c r="H2" s="1"/>
      <c r="I2" s="1"/>
      <c r="J2" s="1"/>
      <c r="K2" s="1"/>
      <c r="L2" s="1"/>
    </row>
    <row r="3" spans="1:12" ht="24" customHeight="1">
      <c r="A3" s="7" t="s">
        <v>44</v>
      </c>
      <c r="B3" s="8" t="s">
        <v>45</v>
      </c>
      <c r="C3" s="8" t="s">
        <v>46</v>
      </c>
      <c r="D3" s="8" t="s">
        <v>47</v>
      </c>
      <c r="E3" s="8">
        <v>11</v>
      </c>
      <c r="F3" s="9" t="s">
        <v>48</v>
      </c>
      <c r="G3" s="1"/>
      <c r="H3" s="1"/>
      <c r="I3" s="1"/>
      <c r="J3" s="1"/>
      <c r="K3" s="1"/>
      <c r="L3" s="1"/>
    </row>
    <row r="4" spans="1:12" ht="24" customHeight="1">
      <c r="A4" s="7" t="s">
        <v>49</v>
      </c>
      <c r="B4" s="8"/>
      <c r="C4" s="8" t="s">
        <v>50</v>
      </c>
      <c r="D4" s="8" t="s">
        <v>42</v>
      </c>
      <c r="E4" s="8">
        <v>12</v>
      </c>
      <c r="F4" s="9"/>
      <c r="G4" s="1"/>
      <c r="H4" s="1"/>
      <c r="I4" s="1"/>
      <c r="J4" s="1"/>
      <c r="K4" s="1"/>
      <c r="L4" s="1"/>
    </row>
    <row r="5" spans="1:12" ht="24" customHeight="1">
      <c r="A5" s="7" t="s">
        <v>51</v>
      </c>
      <c r="B5" s="8" t="s">
        <v>52</v>
      </c>
      <c r="C5" s="8" t="s">
        <v>53</v>
      </c>
      <c r="D5" s="8" t="s">
        <v>54</v>
      </c>
      <c r="E5" s="8">
        <v>13</v>
      </c>
      <c r="F5" s="9" t="s">
        <v>55</v>
      </c>
      <c r="G5" s="1"/>
      <c r="H5" s="1"/>
      <c r="I5" s="1"/>
      <c r="J5" s="1"/>
      <c r="K5" s="1"/>
      <c r="L5" s="1"/>
    </row>
    <row r="6" spans="1:12" ht="24" customHeight="1">
      <c r="A6" s="7" t="s">
        <v>56</v>
      </c>
      <c r="B6" s="8" t="s">
        <v>57</v>
      </c>
      <c r="C6" s="8" t="s">
        <v>58</v>
      </c>
      <c r="D6" s="8" t="s">
        <v>47</v>
      </c>
      <c r="E6" s="8">
        <v>14</v>
      </c>
      <c r="F6" s="9" t="s">
        <v>43</v>
      </c>
      <c r="G6" s="1"/>
      <c r="H6" s="1"/>
      <c r="I6" s="1"/>
      <c r="J6" s="1"/>
      <c r="K6" s="1"/>
      <c r="L6" s="1"/>
    </row>
    <row r="7" spans="1:12" ht="24" customHeight="1">
      <c r="A7" s="7" t="s">
        <v>59</v>
      </c>
      <c r="B7" s="8" t="s">
        <v>60</v>
      </c>
      <c r="C7" s="8" t="s">
        <v>58</v>
      </c>
      <c r="D7" s="8" t="s">
        <v>61</v>
      </c>
      <c r="E7" s="8">
        <v>15</v>
      </c>
      <c r="F7" s="9" t="s">
        <v>48</v>
      </c>
      <c r="G7" s="1"/>
      <c r="H7" s="1"/>
      <c r="I7" s="1"/>
      <c r="J7" s="1"/>
      <c r="K7" s="1"/>
      <c r="L7" s="1"/>
    </row>
    <row r="8" spans="1:12" ht="24" customHeight="1">
      <c r="A8" s="7" t="s">
        <v>62</v>
      </c>
      <c r="B8" s="8" t="s">
        <v>63</v>
      </c>
      <c r="C8" s="8" t="s">
        <v>64</v>
      </c>
      <c r="D8" s="8" t="s">
        <v>42</v>
      </c>
      <c r="E8" s="8">
        <v>16</v>
      </c>
      <c r="F8" s="9"/>
      <c r="G8" s="1"/>
      <c r="H8" s="1"/>
      <c r="I8" s="1"/>
      <c r="J8" s="1"/>
      <c r="K8" s="1"/>
      <c r="L8" s="1"/>
    </row>
    <row r="9" spans="1:12" ht="24" customHeight="1">
      <c r="A9" s="7" t="s">
        <v>65</v>
      </c>
      <c r="B9" s="8" t="s">
        <v>66</v>
      </c>
      <c r="C9" s="8" t="s">
        <v>67</v>
      </c>
      <c r="D9" s="8" t="s">
        <v>68</v>
      </c>
      <c r="E9" s="8">
        <v>17</v>
      </c>
      <c r="F9" s="9" t="s">
        <v>55</v>
      </c>
      <c r="G9" s="1"/>
      <c r="H9" s="1"/>
      <c r="I9" s="1"/>
      <c r="J9" s="1"/>
      <c r="K9" s="1"/>
      <c r="L9" s="1"/>
    </row>
    <row r="10" spans="1:12" ht="24" customHeight="1">
      <c r="A10" s="7" t="s">
        <v>69</v>
      </c>
      <c r="B10" s="8" t="s">
        <v>70</v>
      </c>
      <c r="C10" s="8" t="s">
        <v>71</v>
      </c>
      <c r="D10" s="8" t="s">
        <v>61</v>
      </c>
      <c r="E10" s="8">
        <v>18</v>
      </c>
      <c r="F10" s="9" t="s">
        <v>43</v>
      </c>
      <c r="G10" s="1"/>
      <c r="H10" s="1"/>
      <c r="I10" s="1"/>
      <c r="J10" s="1"/>
      <c r="K10" s="1"/>
      <c r="L10" s="1"/>
    </row>
    <row r="11" spans="1:12" ht="24" customHeight="1">
      <c r="A11" s="7" t="s">
        <v>72</v>
      </c>
      <c r="B11" s="8" t="s">
        <v>73</v>
      </c>
      <c r="C11" s="8" t="s">
        <v>74</v>
      </c>
      <c r="D11" s="8" t="s">
        <v>42</v>
      </c>
      <c r="E11" s="8">
        <v>0</v>
      </c>
      <c r="F11" s="9" t="s">
        <v>48</v>
      </c>
      <c r="G11" s="1"/>
      <c r="H11" s="1"/>
      <c r="I11" s="1"/>
      <c r="J11" s="1"/>
      <c r="K11" s="1"/>
      <c r="L11" s="1"/>
    </row>
    <row r="12" spans="1:12" ht="24" customHeight="1">
      <c r="A12" s="7" t="s">
        <v>75</v>
      </c>
      <c r="B12" s="8" t="s">
        <v>76</v>
      </c>
      <c r="C12" s="8" t="s">
        <v>77</v>
      </c>
      <c r="D12" s="8" t="s">
        <v>78</v>
      </c>
      <c r="E12" s="8">
        <v>20</v>
      </c>
      <c r="F12" s="9" t="s">
        <v>79</v>
      </c>
      <c r="G12" s="1"/>
      <c r="H12" s="1"/>
      <c r="I12" s="1"/>
      <c r="J12" s="1"/>
      <c r="K12" s="1"/>
      <c r="L12" s="1"/>
    </row>
    <row r="13" spans="1:12" ht="24" customHeight="1">
      <c r="A13" s="7" t="s">
        <v>80</v>
      </c>
      <c r="B13" s="8" t="s">
        <v>81</v>
      </c>
      <c r="C13" s="8" t="s">
        <v>82</v>
      </c>
      <c r="D13" s="8" t="s">
        <v>42</v>
      </c>
      <c r="E13" s="8">
        <v>21</v>
      </c>
      <c r="F13" s="9"/>
      <c r="G13" s="1"/>
      <c r="H13" s="1"/>
      <c r="I13" s="1"/>
      <c r="J13" s="1"/>
      <c r="K13" s="1"/>
      <c r="L13" s="1"/>
    </row>
    <row r="14" spans="1:12" ht="24" customHeight="1">
      <c r="A14" s="7" t="s">
        <v>83</v>
      </c>
      <c r="B14" s="8" t="s">
        <v>84</v>
      </c>
      <c r="C14" s="8" t="s">
        <v>85</v>
      </c>
      <c r="D14" s="8" t="s">
        <v>42</v>
      </c>
      <c r="E14" s="8">
        <v>22</v>
      </c>
      <c r="F14" s="9" t="s">
        <v>43</v>
      </c>
      <c r="G14" s="1"/>
      <c r="H14" s="1"/>
      <c r="I14" s="1"/>
      <c r="J14" s="1"/>
      <c r="K14" s="1"/>
      <c r="L14" s="1"/>
    </row>
    <row r="15" spans="1:12" ht="24" customHeight="1">
      <c r="A15" s="7" t="s">
        <v>86</v>
      </c>
      <c r="B15" s="8"/>
      <c r="C15" s="8" t="s">
        <v>87</v>
      </c>
      <c r="D15" s="8" t="s">
        <v>47</v>
      </c>
      <c r="E15" s="8">
        <v>23</v>
      </c>
      <c r="F15" s="9" t="s">
        <v>48</v>
      </c>
      <c r="G15" s="1"/>
      <c r="H15" s="1"/>
      <c r="I15" s="1"/>
      <c r="J15" s="1"/>
      <c r="K15" s="1"/>
      <c r="L15" s="1"/>
    </row>
    <row r="16" spans="1:12" ht="24" customHeight="1">
      <c r="A16" s="7" t="s">
        <v>88</v>
      </c>
      <c r="B16" s="8" t="s">
        <v>89</v>
      </c>
      <c r="C16" s="8" t="s">
        <v>90</v>
      </c>
      <c r="D16" s="8" t="s">
        <v>61</v>
      </c>
      <c r="E16" s="8">
        <v>24</v>
      </c>
      <c r="F16" s="9" t="s">
        <v>79</v>
      </c>
      <c r="G16" s="1"/>
      <c r="H16" s="1"/>
      <c r="I16" s="1"/>
      <c r="J16" s="1"/>
      <c r="K16" s="1"/>
      <c r="L16" s="1"/>
    </row>
    <row r="17" spans="1:12" ht="24" customHeight="1">
      <c r="A17" s="7" t="s">
        <v>91</v>
      </c>
      <c r="B17" s="8" t="s">
        <v>92</v>
      </c>
      <c r="C17" s="8" t="s">
        <v>93</v>
      </c>
      <c r="D17" s="8" t="s">
        <v>94</v>
      </c>
      <c r="E17" s="8">
        <v>25</v>
      </c>
      <c r="F17" s="9" t="s">
        <v>55</v>
      </c>
      <c r="G17" s="1"/>
      <c r="H17" s="1"/>
      <c r="I17" s="1"/>
      <c r="J17" s="1"/>
      <c r="K17" s="1"/>
      <c r="L17" s="1"/>
    </row>
    <row r="18" spans="1:12" ht="24" customHeight="1">
      <c r="A18" s="7" t="s">
        <v>95</v>
      </c>
      <c r="B18" s="8" t="s">
        <v>96</v>
      </c>
      <c r="C18" s="8" t="s">
        <v>97</v>
      </c>
      <c r="D18" s="8" t="s">
        <v>47</v>
      </c>
      <c r="E18" s="8">
        <v>26</v>
      </c>
      <c r="F18" s="9"/>
      <c r="G18" s="1"/>
      <c r="H18" s="1"/>
      <c r="I18" s="1"/>
      <c r="J18" s="1"/>
      <c r="K18" s="1"/>
      <c r="L18" s="1"/>
    </row>
    <row r="19" spans="1:12" ht="24" customHeight="1">
      <c r="A19" s="7" t="s">
        <v>98</v>
      </c>
      <c r="B19" s="8" t="s">
        <v>99</v>
      </c>
      <c r="C19" s="8" t="s">
        <v>100</v>
      </c>
      <c r="D19" s="8" t="s">
        <v>61</v>
      </c>
      <c r="E19" s="8">
        <v>75</v>
      </c>
      <c r="F19" s="9" t="s">
        <v>48</v>
      </c>
      <c r="G19" s="1"/>
      <c r="H19" s="1"/>
      <c r="I19" s="1"/>
      <c r="J19" s="1"/>
      <c r="K19" s="1"/>
      <c r="L19" s="1"/>
    </row>
    <row r="20" spans="1:12" ht="24" customHeight="1">
      <c r="A20" s="7" t="s">
        <v>101</v>
      </c>
      <c r="B20" s="8" t="s">
        <v>102</v>
      </c>
      <c r="C20" s="8" t="s">
        <v>103</v>
      </c>
      <c r="D20" s="8" t="s">
        <v>42</v>
      </c>
      <c r="E20" s="8">
        <v>28</v>
      </c>
      <c r="F20" s="9" t="s">
        <v>79</v>
      </c>
      <c r="G20" s="1"/>
      <c r="H20" s="1"/>
      <c r="I20" s="1"/>
      <c r="J20" s="1"/>
      <c r="K20" s="1"/>
      <c r="L20" s="1"/>
    </row>
    <row r="21" spans="1:12" ht="24" customHeight="1">
      <c r="A21" s="10" t="s">
        <v>104</v>
      </c>
      <c r="B21" s="11" t="s">
        <v>105</v>
      </c>
      <c r="C21" s="11" t="s">
        <v>106</v>
      </c>
      <c r="D21" s="11" t="s">
        <v>47</v>
      </c>
      <c r="E21" s="11"/>
      <c r="F21" s="12" t="s">
        <v>55</v>
      </c>
      <c r="G21" s="1"/>
      <c r="H21" s="1"/>
      <c r="I21" s="1"/>
      <c r="J21" s="1"/>
      <c r="K21" s="1"/>
      <c r="L21" s="1"/>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showGridLines="0" workbookViewId="0">
      <pane ySplit="1" topLeftCell="A2" activePane="bottomLeft" state="frozen"/>
      <selection pane="bottomLeft"/>
    </sheetView>
  </sheetViews>
  <sheetFormatPr defaultRowHeight="13.8"/>
  <cols>
    <col min="1" max="6" width="22" customWidth="1"/>
  </cols>
  <sheetData>
    <row r="1" spans="1:12" ht="38.1" customHeight="1">
      <c r="A1" s="2"/>
      <c r="B1" s="2"/>
      <c r="C1" s="2"/>
      <c r="D1" s="2"/>
      <c r="E1" s="2"/>
      <c r="F1" s="2"/>
      <c r="G1" s="1"/>
      <c r="H1" s="1"/>
      <c r="I1" s="1"/>
      <c r="J1" s="1"/>
      <c r="K1" s="1"/>
      <c r="L1" s="1"/>
    </row>
    <row r="2" spans="1:12" ht="24" customHeight="1">
      <c r="A2" s="1"/>
      <c r="B2" s="1"/>
      <c r="C2" s="1"/>
      <c r="D2" s="1"/>
      <c r="E2" s="1"/>
      <c r="F2" s="1"/>
      <c r="G2" s="1"/>
      <c r="H2" s="1"/>
      <c r="I2" s="1"/>
      <c r="J2" s="1"/>
      <c r="K2" s="1"/>
      <c r="L2" s="1"/>
    </row>
    <row r="3" spans="1:12" ht="24" customHeight="1">
      <c r="A3" s="1"/>
      <c r="B3" s="1"/>
      <c r="C3" s="1"/>
      <c r="D3" s="1"/>
      <c r="E3" s="1"/>
      <c r="F3" s="1"/>
      <c r="G3" s="1"/>
      <c r="H3" s="1"/>
      <c r="I3" s="1"/>
      <c r="J3" s="1"/>
      <c r="K3" s="1"/>
      <c r="L3" s="1"/>
    </row>
    <row r="4" spans="1:12" ht="24" customHeight="1">
      <c r="A4" s="1"/>
      <c r="B4" s="1"/>
      <c r="C4" s="1"/>
      <c r="D4" s="1"/>
      <c r="E4" s="1"/>
      <c r="F4" s="1"/>
      <c r="G4" s="1"/>
      <c r="H4" s="1"/>
      <c r="I4" s="1"/>
      <c r="J4" s="1"/>
      <c r="K4" s="1"/>
      <c r="L4" s="1"/>
    </row>
    <row r="5" spans="1:12" ht="24" customHeight="1">
      <c r="A5" s="1"/>
      <c r="B5" s="1"/>
      <c r="C5" s="1"/>
      <c r="D5" s="1"/>
      <c r="E5" s="1"/>
      <c r="F5" s="1"/>
      <c r="G5" s="1"/>
      <c r="H5" s="1"/>
      <c r="I5" s="1"/>
      <c r="J5" s="1"/>
      <c r="K5" s="1"/>
      <c r="L5" s="1"/>
    </row>
    <row r="6" spans="1:12" ht="24" customHeight="1">
      <c r="A6" s="1"/>
      <c r="B6" s="1"/>
      <c r="C6" s="1"/>
      <c r="D6" s="1"/>
      <c r="E6" s="1"/>
      <c r="F6" s="1"/>
      <c r="G6" s="1"/>
      <c r="H6" s="1"/>
      <c r="I6" s="1"/>
      <c r="J6" s="1"/>
      <c r="K6" s="1"/>
      <c r="L6" s="1"/>
    </row>
    <row r="7" spans="1:12" ht="24" customHeight="1">
      <c r="A7" s="1"/>
      <c r="B7" s="1"/>
      <c r="C7" s="1"/>
      <c r="D7" s="1"/>
      <c r="E7" s="1"/>
      <c r="F7" s="1"/>
      <c r="G7" s="1"/>
      <c r="H7" s="1"/>
      <c r="I7" s="1"/>
      <c r="J7" s="1"/>
      <c r="K7" s="1"/>
      <c r="L7" s="1"/>
    </row>
    <row r="8" spans="1:12" ht="24" customHeight="1">
      <c r="A8" s="1"/>
      <c r="B8" s="1"/>
      <c r="C8" s="1"/>
      <c r="D8" s="1"/>
      <c r="E8" s="1"/>
      <c r="F8" s="1"/>
      <c r="G8" s="1"/>
      <c r="H8" s="1"/>
      <c r="I8" s="1"/>
      <c r="J8" s="1"/>
      <c r="K8" s="1"/>
      <c r="L8" s="1"/>
    </row>
    <row r="9" spans="1:12" ht="24" customHeight="1">
      <c r="A9" s="1"/>
      <c r="B9" s="1"/>
      <c r="C9" s="1"/>
      <c r="D9" s="1"/>
      <c r="E9" s="1"/>
      <c r="F9" s="1"/>
      <c r="G9" s="1"/>
      <c r="H9" s="1"/>
      <c r="I9" s="1"/>
      <c r="J9" s="1"/>
      <c r="K9" s="1"/>
      <c r="L9" s="1"/>
    </row>
    <row r="10" spans="1:12" ht="24" customHeight="1">
      <c r="A10" s="1"/>
      <c r="B10" s="1"/>
      <c r="C10" s="1"/>
      <c r="D10" s="1"/>
      <c r="E10" s="1"/>
      <c r="F10" s="1"/>
      <c r="G10" s="1"/>
      <c r="H10" s="1"/>
      <c r="I10" s="1"/>
      <c r="J10" s="1"/>
      <c r="K10" s="1"/>
      <c r="L10" s="1"/>
    </row>
    <row r="11" spans="1:12" ht="24" customHeight="1">
      <c r="A11" s="1"/>
      <c r="B11" s="1"/>
      <c r="C11" s="1"/>
      <c r="D11" s="1"/>
      <c r="E11" s="1"/>
      <c r="F11" s="1"/>
      <c r="G11" s="1"/>
      <c r="H11" s="1"/>
      <c r="I11" s="1"/>
      <c r="J11" s="1"/>
      <c r="K11" s="1"/>
      <c r="L11" s="1"/>
    </row>
    <row r="12" spans="1:12" ht="24" customHeight="1">
      <c r="A12" s="1"/>
      <c r="B12" s="1"/>
      <c r="C12" s="1"/>
      <c r="D12" s="1"/>
      <c r="E12" s="1"/>
      <c r="F12" s="1"/>
      <c r="G12" s="1"/>
      <c r="H12" s="1"/>
      <c r="I12" s="1"/>
      <c r="J12" s="1"/>
      <c r="K12" s="1"/>
      <c r="L12" s="1"/>
    </row>
    <row r="13" spans="1:12" ht="24" customHeight="1">
      <c r="A13" s="1"/>
      <c r="B13" s="1"/>
      <c r="C13" s="1"/>
      <c r="D13" s="1"/>
      <c r="E13" s="1"/>
      <c r="F13" s="1"/>
      <c r="G13" s="1"/>
      <c r="H13" s="1"/>
      <c r="I13" s="1"/>
      <c r="J13" s="1"/>
      <c r="K13" s="1"/>
      <c r="L13" s="1"/>
    </row>
    <row r="14" spans="1:12" ht="24" customHeight="1">
      <c r="A14" s="1"/>
      <c r="B14" s="1"/>
      <c r="C14" s="1"/>
      <c r="D14" s="1"/>
      <c r="E14" s="1"/>
      <c r="F14" s="1"/>
      <c r="G14" s="1"/>
      <c r="H14" s="1"/>
      <c r="I14" s="1"/>
      <c r="J14" s="1"/>
      <c r="K14" s="1"/>
      <c r="L14" s="1"/>
    </row>
    <row r="15" spans="1:12" ht="24" customHeight="1">
      <c r="A15" s="1"/>
      <c r="B15" s="1"/>
      <c r="C15" s="1"/>
      <c r="D15" s="1"/>
      <c r="E15" s="1"/>
      <c r="F15" s="1"/>
      <c r="G15" s="1"/>
      <c r="H15" s="1"/>
      <c r="I15" s="1"/>
      <c r="J15" s="1"/>
      <c r="K15" s="1"/>
      <c r="L15" s="1"/>
    </row>
    <row r="16" spans="1:12" ht="24" customHeight="1">
      <c r="A16" s="1"/>
      <c r="B16" s="1"/>
      <c r="C16" s="1"/>
      <c r="D16" s="1"/>
      <c r="E16" s="1"/>
      <c r="F16" s="1"/>
      <c r="G16" s="1"/>
      <c r="H16" s="1"/>
      <c r="I16" s="1"/>
      <c r="J16" s="1"/>
      <c r="K16" s="1"/>
      <c r="L16" s="1"/>
    </row>
    <row r="17" spans="1:12" ht="24" customHeight="1">
      <c r="A17" s="1"/>
      <c r="B17" s="1"/>
      <c r="C17" s="1"/>
      <c r="D17" s="1"/>
      <c r="E17" s="1"/>
      <c r="F17" s="1"/>
      <c r="G17" s="1"/>
      <c r="H17" s="1"/>
      <c r="I17" s="1"/>
      <c r="J17" s="1"/>
      <c r="K17" s="1"/>
      <c r="L17" s="1"/>
    </row>
    <row r="18" spans="1:12" ht="24" customHeight="1">
      <c r="A18" s="1"/>
      <c r="B18" s="1"/>
      <c r="C18" s="1"/>
      <c r="D18" s="1"/>
      <c r="E18" s="1"/>
      <c r="F18" s="1"/>
      <c r="G18" s="1"/>
      <c r="H18" s="1"/>
      <c r="I18" s="1"/>
      <c r="J18" s="1"/>
      <c r="K18" s="1"/>
      <c r="L18" s="1"/>
    </row>
    <row r="19" spans="1:12" ht="24" customHeight="1">
      <c r="A19" s="1"/>
      <c r="B19" s="1"/>
      <c r="C19" s="1"/>
      <c r="D19" s="1"/>
      <c r="E19" s="1"/>
      <c r="F19" s="1"/>
      <c r="G19" s="1"/>
      <c r="H19" s="1"/>
      <c r="I19" s="1"/>
      <c r="J19" s="1"/>
      <c r="K19" s="1"/>
      <c r="L19" s="1"/>
    </row>
    <row r="20" spans="1:12" ht="24" customHeight="1">
      <c r="A20" s="1"/>
      <c r="B20" s="1"/>
      <c r="C20" s="1"/>
      <c r="D20" s="1"/>
      <c r="E20" s="1"/>
      <c r="F20" s="1"/>
      <c r="G20" s="1"/>
      <c r="H20" s="1"/>
      <c r="I20" s="1"/>
      <c r="J20" s="1"/>
      <c r="K20" s="1"/>
      <c r="L20" s="1"/>
    </row>
    <row r="21" spans="1:12" ht="24" customHeight="1">
      <c r="A21" s="1"/>
      <c r="B21" s="1"/>
      <c r="C21" s="1"/>
      <c r="D21" s="1"/>
      <c r="E21" s="1"/>
      <c r="F21" s="1"/>
      <c r="G21" s="1"/>
      <c r="H21" s="1"/>
      <c r="I21" s="1"/>
      <c r="J21" s="1"/>
      <c r="K21" s="1"/>
      <c r="L21" s="1"/>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showGridLines="0" workbookViewId="0">
      <pane ySplit="1" topLeftCell="A2" activePane="bottomLeft" state="frozen"/>
      <selection pane="bottomLeft"/>
    </sheetView>
  </sheetViews>
  <sheetFormatPr defaultRowHeight="13.8"/>
  <cols>
    <col min="1" max="12" width="18" customWidth="1"/>
  </cols>
  <sheetData>
    <row r="1" spans="1:12" ht="38.1" customHeight="1">
      <c r="A1" s="2" t="s">
        <v>33</v>
      </c>
      <c r="B1" s="2" t="s">
        <v>34</v>
      </c>
      <c r="C1" s="2" t="s">
        <v>35</v>
      </c>
      <c r="D1" s="2" t="s">
        <v>36</v>
      </c>
      <c r="E1" s="2" t="s">
        <v>37</v>
      </c>
      <c r="F1" s="2" t="s">
        <v>38</v>
      </c>
      <c r="G1" s="2" t="s">
        <v>11</v>
      </c>
      <c r="H1" s="2" t="s">
        <v>13</v>
      </c>
      <c r="I1" s="2" t="s">
        <v>15</v>
      </c>
      <c r="J1" s="2" t="s">
        <v>17</v>
      </c>
      <c r="K1" s="2" t="s">
        <v>19</v>
      </c>
      <c r="L1" s="2" t="s">
        <v>107</v>
      </c>
    </row>
    <row r="2" spans="1:12" ht="24" customHeight="1">
      <c r="A2" s="1" t="str">
        <f>IF(Prepared!A2="","",Prepared!A2)</f>
        <v/>
      </c>
      <c r="B2" s="1" t="str">
        <f>IF(Prepared!B2="","",Prepared!B2)</f>
        <v/>
      </c>
      <c r="C2" s="1" t="str">
        <f>IF(Prepared!C2="","",Prepared!C2)</f>
        <v/>
      </c>
      <c r="D2" s="1" t="str">
        <f>IF(Prepared!D2="","",Prepared!D2)</f>
        <v/>
      </c>
      <c r="E2" s="1" t="str">
        <f>IF(Prepared!E2="","",Prepared!E2)</f>
        <v/>
      </c>
      <c r="F2" s="1" t="str">
        <f>IF(Prepared!F2="","",Prepared!F2)</f>
        <v/>
      </c>
      <c r="G2" s="1" t="str">
        <f>IF(COUNTA(Prepared!$A$2:$A$21)&lt;&gt;20,"",IF(B2="","FLAG","OK"))</f>
        <v/>
      </c>
      <c r="H2" s="1" t="str">
        <f>IF(COUNTA(Prepared!$A$2:$A$21)&lt;&gt;20,"",IF(COUNTIFS($C$2:$C$21,C2)&gt;1,"FLAG","OK"))</f>
        <v/>
      </c>
      <c r="I2" s="1" t="str">
        <f>IF(COUNTA(Prepared!$A$2:$A$21)&lt;&gt;20,"",IF(OR(D2="READY",D2="HOLD",D2="REVIEW"),"OK","FLAG"))</f>
        <v/>
      </c>
      <c r="J2" s="1" t="str">
        <f>IF(COUNTA(Prepared!$A$2:$A$21)&lt;&gt;20,"",IF(AND(ISNUMBER(E2),E2&gt;=1,E2&lt;=60),"OK","FLAG"))</f>
        <v/>
      </c>
      <c r="K2" s="1" t="str">
        <f>IF(COUNTA(Prepared!$A$2:$A$21)&lt;&gt;20,"",IF(AND(D2="READY",F2=""),"FLAG","OK"))</f>
        <v/>
      </c>
      <c r="L2" s="1" t="str">
        <f t="shared" ref="L2:L21" si="0">IF(G2="","",IF(COUNTIFS(G2:K2,"FLAG")&gt;0,"FLAG","OK"))</f>
        <v/>
      </c>
    </row>
    <row r="3" spans="1:12" ht="24" customHeight="1">
      <c r="A3" s="1" t="str">
        <f>IF(Prepared!A3="","",Prepared!A3)</f>
        <v/>
      </c>
      <c r="B3" s="1" t="str">
        <f>IF(Prepared!B3="","",Prepared!B3)</f>
        <v/>
      </c>
      <c r="C3" s="1" t="str">
        <f>IF(Prepared!C3="","",Prepared!C3)</f>
        <v/>
      </c>
      <c r="D3" s="1" t="str">
        <f>IF(Prepared!D3="","",Prepared!D3)</f>
        <v/>
      </c>
      <c r="E3" s="1" t="str">
        <f>IF(Prepared!E3="","",Prepared!E3)</f>
        <v/>
      </c>
      <c r="F3" s="1" t="str">
        <f>IF(Prepared!F3="","",Prepared!F3)</f>
        <v/>
      </c>
      <c r="G3" s="1" t="str">
        <f>IF(COUNTA(Prepared!$A$2:$A$21)&lt;&gt;20,"",IF(B3="","FLAG","OK"))</f>
        <v/>
      </c>
      <c r="H3" s="1" t="str">
        <f>IF(COUNTA(Prepared!$A$2:$A$21)&lt;&gt;20,"",IF(COUNTIFS($C$2:$C$21,C3)&gt;1,"FLAG","OK"))</f>
        <v/>
      </c>
      <c r="I3" s="1" t="str">
        <f>IF(COUNTA(Prepared!$A$2:$A$21)&lt;&gt;20,"",IF(OR(D3="READY",D3="HOLD",D3="REVIEW"),"OK","FLAG"))</f>
        <v/>
      </c>
      <c r="J3" s="1" t="str">
        <f>IF(COUNTA(Prepared!$A$2:$A$21)&lt;&gt;20,"",IF(AND(ISNUMBER(E3),E3&gt;=1,E3&lt;=60),"OK","FLAG"))</f>
        <v/>
      </c>
      <c r="K3" s="1" t="str">
        <f>IF(COUNTA(Prepared!$A$2:$A$21)&lt;&gt;20,"",IF(AND(D3="READY",F3=""),"FLAG","OK"))</f>
        <v/>
      </c>
      <c r="L3" s="1" t="str">
        <f t="shared" si="0"/>
        <v/>
      </c>
    </row>
    <row r="4" spans="1:12" ht="24" customHeight="1">
      <c r="A4" s="1" t="str">
        <f>IF(Prepared!A4="","",Prepared!A4)</f>
        <v/>
      </c>
      <c r="B4" s="1" t="str">
        <f>IF(Prepared!B4="","",Prepared!B4)</f>
        <v/>
      </c>
      <c r="C4" s="1" t="str">
        <f>IF(Prepared!C4="","",Prepared!C4)</f>
        <v/>
      </c>
      <c r="D4" s="1" t="str">
        <f>IF(Prepared!D4="","",Prepared!D4)</f>
        <v/>
      </c>
      <c r="E4" s="1" t="str">
        <f>IF(Prepared!E4="","",Prepared!E4)</f>
        <v/>
      </c>
      <c r="F4" s="1" t="str">
        <f>IF(Prepared!F4="","",Prepared!F4)</f>
        <v/>
      </c>
      <c r="G4" s="1" t="str">
        <f>IF(COUNTA(Prepared!$A$2:$A$21)&lt;&gt;20,"",IF(B4="","FLAG","OK"))</f>
        <v/>
      </c>
      <c r="H4" s="1" t="str">
        <f>IF(COUNTA(Prepared!$A$2:$A$21)&lt;&gt;20,"",IF(COUNTIFS($C$2:$C$21,C4)&gt;1,"FLAG","OK"))</f>
        <v/>
      </c>
      <c r="I4" s="1" t="str">
        <f>IF(COUNTA(Prepared!$A$2:$A$21)&lt;&gt;20,"",IF(OR(D4="READY",D4="HOLD",D4="REVIEW"),"OK","FLAG"))</f>
        <v/>
      </c>
      <c r="J4" s="1" t="str">
        <f>IF(COUNTA(Prepared!$A$2:$A$21)&lt;&gt;20,"",IF(AND(ISNUMBER(E4),E4&gt;=1,E4&lt;=60),"OK","FLAG"))</f>
        <v/>
      </c>
      <c r="K4" s="1" t="str">
        <f>IF(COUNTA(Prepared!$A$2:$A$21)&lt;&gt;20,"",IF(AND(D4="READY",F4=""),"FLAG","OK"))</f>
        <v/>
      </c>
      <c r="L4" s="1" t="str">
        <f t="shared" si="0"/>
        <v/>
      </c>
    </row>
    <row r="5" spans="1:12" ht="24" customHeight="1">
      <c r="A5" s="1" t="str">
        <f>IF(Prepared!A5="","",Prepared!A5)</f>
        <v/>
      </c>
      <c r="B5" s="1" t="str">
        <f>IF(Prepared!B5="","",Prepared!B5)</f>
        <v/>
      </c>
      <c r="C5" s="1" t="str">
        <f>IF(Prepared!C5="","",Prepared!C5)</f>
        <v/>
      </c>
      <c r="D5" s="1" t="str">
        <f>IF(Prepared!D5="","",Prepared!D5)</f>
        <v/>
      </c>
      <c r="E5" s="1" t="str">
        <f>IF(Prepared!E5="","",Prepared!E5)</f>
        <v/>
      </c>
      <c r="F5" s="1" t="str">
        <f>IF(Prepared!F5="","",Prepared!F5)</f>
        <v/>
      </c>
      <c r="G5" s="1" t="str">
        <f>IF(COUNTA(Prepared!$A$2:$A$21)&lt;&gt;20,"",IF(B5="","FLAG","OK"))</f>
        <v/>
      </c>
      <c r="H5" s="1" t="str">
        <f>IF(COUNTA(Prepared!$A$2:$A$21)&lt;&gt;20,"",IF(COUNTIFS($C$2:$C$21,C5)&gt;1,"FLAG","OK"))</f>
        <v/>
      </c>
      <c r="I5" s="1" t="str">
        <f>IF(COUNTA(Prepared!$A$2:$A$21)&lt;&gt;20,"",IF(OR(D5="READY",D5="HOLD",D5="REVIEW"),"OK","FLAG"))</f>
        <v/>
      </c>
      <c r="J5" s="1" t="str">
        <f>IF(COUNTA(Prepared!$A$2:$A$21)&lt;&gt;20,"",IF(AND(ISNUMBER(E5),E5&gt;=1,E5&lt;=60),"OK","FLAG"))</f>
        <v/>
      </c>
      <c r="K5" s="1" t="str">
        <f>IF(COUNTA(Prepared!$A$2:$A$21)&lt;&gt;20,"",IF(AND(D5="READY",F5=""),"FLAG","OK"))</f>
        <v/>
      </c>
      <c r="L5" s="1" t="str">
        <f t="shared" si="0"/>
        <v/>
      </c>
    </row>
    <row r="6" spans="1:12" ht="24" customHeight="1">
      <c r="A6" s="1" t="str">
        <f>IF(Prepared!A6="","",Prepared!A6)</f>
        <v/>
      </c>
      <c r="B6" s="1" t="str">
        <f>IF(Prepared!B6="","",Prepared!B6)</f>
        <v/>
      </c>
      <c r="C6" s="1" t="str">
        <f>IF(Prepared!C6="","",Prepared!C6)</f>
        <v/>
      </c>
      <c r="D6" s="1" t="str">
        <f>IF(Prepared!D6="","",Prepared!D6)</f>
        <v/>
      </c>
      <c r="E6" s="1" t="str">
        <f>IF(Prepared!E6="","",Prepared!E6)</f>
        <v/>
      </c>
      <c r="F6" s="1" t="str">
        <f>IF(Prepared!F6="","",Prepared!F6)</f>
        <v/>
      </c>
      <c r="G6" s="1" t="str">
        <f>IF(COUNTA(Prepared!$A$2:$A$21)&lt;&gt;20,"",IF(B6="","FLAG","OK"))</f>
        <v/>
      </c>
      <c r="H6" s="1" t="str">
        <f>IF(COUNTA(Prepared!$A$2:$A$21)&lt;&gt;20,"",IF(COUNTIFS($C$2:$C$21,C6)&gt;1,"FLAG","OK"))</f>
        <v/>
      </c>
      <c r="I6" s="1" t="str">
        <f>IF(COUNTA(Prepared!$A$2:$A$21)&lt;&gt;20,"",IF(OR(D6="READY",D6="HOLD",D6="REVIEW"),"OK","FLAG"))</f>
        <v/>
      </c>
      <c r="J6" s="1" t="str">
        <f>IF(COUNTA(Prepared!$A$2:$A$21)&lt;&gt;20,"",IF(AND(ISNUMBER(E6),E6&gt;=1,E6&lt;=60),"OK","FLAG"))</f>
        <v/>
      </c>
      <c r="K6" s="1" t="str">
        <f>IF(COUNTA(Prepared!$A$2:$A$21)&lt;&gt;20,"",IF(AND(D6="READY",F6=""),"FLAG","OK"))</f>
        <v/>
      </c>
      <c r="L6" s="1" t="str">
        <f t="shared" si="0"/>
        <v/>
      </c>
    </row>
    <row r="7" spans="1:12" ht="24" customHeight="1">
      <c r="A7" s="1" t="str">
        <f>IF(Prepared!A7="","",Prepared!A7)</f>
        <v/>
      </c>
      <c r="B7" s="1" t="str">
        <f>IF(Prepared!B7="","",Prepared!B7)</f>
        <v/>
      </c>
      <c r="C7" s="1" t="str">
        <f>IF(Prepared!C7="","",Prepared!C7)</f>
        <v/>
      </c>
      <c r="D7" s="1" t="str">
        <f>IF(Prepared!D7="","",Prepared!D7)</f>
        <v/>
      </c>
      <c r="E7" s="1" t="str">
        <f>IF(Prepared!E7="","",Prepared!E7)</f>
        <v/>
      </c>
      <c r="F7" s="1" t="str">
        <f>IF(Prepared!F7="","",Prepared!F7)</f>
        <v/>
      </c>
      <c r="G7" s="1" t="str">
        <f>IF(COUNTA(Prepared!$A$2:$A$21)&lt;&gt;20,"",IF(B7="","FLAG","OK"))</f>
        <v/>
      </c>
      <c r="H7" s="1" t="str">
        <f>IF(COUNTA(Prepared!$A$2:$A$21)&lt;&gt;20,"",IF(COUNTIFS($C$2:$C$21,C7)&gt;1,"FLAG","OK"))</f>
        <v/>
      </c>
      <c r="I7" s="1" t="str">
        <f>IF(COUNTA(Prepared!$A$2:$A$21)&lt;&gt;20,"",IF(OR(D7="READY",D7="HOLD",D7="REVIEW"),"OK","FLAG"))</f>
        <v/>
      </c>
      <c r="J7" s="1" t="str">
        <f>IF(COUNTA(Prepared!$A$2:$A$21)&lt;&gt;20,"",IF(AND(ISNUMBER(E7),E7&gt;=1,E7&lt;=60),"OK","FLAG"))</f>
        <v/>
      </c>
      <c r="K7" s="1" t="str">
        <f>IF(COUNTA(Prepared!$A$2:$A$21)&lt;&gt;20,"",IF(AND(D7="READY",F7=""),"FLAG","OK"))</f>
        <v/>
      </c>
      <c r="L7" s="1" t="str">
        <f t="shared" si="0"/>
        <v/>
      </c>
    </row>
    <row r="8" spans="1:12" ht="24" customHeight="1">
      <c r="A8" s="1" t="str">
        <f>IF(Prepared!A8="","",Prepared!A8)</f>
        <v/>
      </c>
      <c r="B8" s="1" t="str">
        <f>IF(Prepared!B8="","",Prepared!B8)</f>
        <v/>
      </c>
      <c r="C8" s="1" t="str">
        <f>IF(Prepared!C8="","",Prepared!C8)</f>
        <v/>
      </c>
      <c r="D8" s="1" t="str">
        <f>IF(Prepared!D8="","",Prepared!D8)</f>
        <v/>
      </c>
      <c r="E8" s="1" t="str">
        <f>IF(Prepared!E8="","",Prepared!E8)</f>
        <v/>
      </c>
      <c r="F8" s="1" t="str">
        <f>IF(Prepared!F8="","",Prepared!F8)</f>
        <v/>
      </c>
      <c r="G8" s="1" t="str">
        <f>IF(COUNTA(Prepared!$A$2:$A$21)&lt;&gt;20,"",IF(B8="","FLAG","OK"))</f>
        <v/>
      </c>
      <c r="H8" s="1" t="str">
        <f>IF(COUNTA(Prepared!$A$2:$A$21)&lt;&gt;20,"",IF(COUNTIFS($C$2:$C$21,C8)&gt;1,"FLAG","OK"))</f>
        <v/>
      </c>
      <c r="I8" s="1" t="str">
        <f>IF(COUNTA(Prepared!$A$2:$A$21)&lt;&gt;20,"",IF(OR(D8="READY",D8="HOLD",D8="REVIEW"),"OK","FLAG"))</f>
        <v/>
      </c>
      <c r="J8" s="1" t="str">
        <f>IF(COUNTA(Prepared!$A$2:$A$21)&lt;&gt;20,"",IF(AND(ISNUMBER(E8),E8&gt;=1,E8&lt;=60),"OK","FLAG"))</f>
        <v/>
      </c>
      <c r="K8" s="1" t="str">
        <f>IF(COUNTA(Prepared!$A$2:$A$21)&lt;&gt;20,"",IF(AND(D8="READY",F8=""),"FLAG","OK"))</f>
        <v/>
      </c>
      <c r="L8" s="1" t="str">
        <f t="shared" si="0"/>
        <v/>
      </c>
    </row>
    <row r="9" spans="1:12" ht="24" customHeight="1">
      <c r="A9" s="1" t="str">
        <f>IF(Prepared!A9="","",Prepared!A9)</f>
        <v/>
      </c>
      <c r="B9" s="1" t="str">
        <f>IF(Prepared!B9="","",Prepared!B9)</f>
        <v/>
      </c>
      <c r="C9" s="1" t="str">
        <f>IF(Prepared!C9="","",Prepared!C9)</f>
        <v/>
      </c>
      <c r="D9" s="1" t="str">
        <f>IF(Prepared!D9="","",Prepared!D9)</f>
        <v/>
      </c>
      <c r="E9" s="1" t="str">
        <f>IF(Prepared!E9="","",Prepared!E9)</f>
        <v/>
      </c>
      <c r="F9" s="1" t="str">
        <f>IF(Prepared!F9="","",Prepared!F9)</f>
        <v/>
      </c>
      <c r="G9" s="1" t="str">
        <f>IF(COUNTA(Prepared!$A$2:$A$21)&lt;&gt;20,"",IF(B9="","FLAG","OK"))</f>
        <v/>
      </c>
      <c r="H9" s="1" t="str">
        <f>IF(COUNTA(Prepared!$A$2:$A$21)&lt;&gt;20,"",IF(COUNTIFS($C$2:$C$21,C9)&gt;1,"FLAG","OK"))</f>
        <v/>
      </c>
      <c r="I9" s="1" t="str">
        <f>IF(COUNTA(Prepared!$A$2:$A$21)&lt;&gt;20,"",IF(OR(D9="READY",D9="HOLD",D9="REVIEW"),"OK","FLAG"))</f>
        <v/>
      </c>
      <c r="J9" s="1" t="str">
        <f>IF(COUNTA(Prepared!$A$2:$A$21)&lt;&gt;20,"",IF(AND(ISNUMBER(E9),E9&gt;=1,E9&lt;=60),"OK","FLAG"))</f>
        <v/>
      </c>
      <c r="K9" s="1" t="str">
        <f>IF(COUNTA(Prepared!$A$2:$A$21)&lt;&gt;20,"",IF(AND(D9="READY",F9=""),"FLAG","OK"))</f>
        <v/>
      </c>
      <c r="L9" s="1" t="str">
        <f t="shared" si="0"/>
        <v/>
      </c>
    </row>
    <row r="10" spans="1:12" ht="24" customHeight="1">
      <c r="A10" s="1" t="str">
        <f>IF(Prepared!A10="","",Prepared!A10)</f>
        <v/>
      </c>
      <c r="B10" s="1" t="str">
        <f>IF(Prepared!B10="","",Prepared!B10)</f>
        <v/>
      </c>
      <c r="C10" s="1" t="str">
        <f>IF(Prepared!C10="","",Prepared!C10)</f>
        <v/>
      </c>
      <c r="D10" s="1" t="str">
        <f>IF(Prepared!D10="","",Prepared!D10)</f>
        <v/>
      </c>
      <c r="E10" s="1" t="str">
        <f>IF(Prepared!E10="","",Prepared!E10)</f>
        <v/>
      </c>
      <c r="F10" s="1" t="str">
        <f>IF(Prepared!F10="","",Prepared!F10)</f>
        <v/>
      </c>
      <c r="G10" s="1" t="str">
        <f>IF(COUNTA(Prepared!$A$2:$A$21)&lt;&gt;20,"",IF(B10="","FLAG","OK"))</f>
        <v/>
      </c>
      <c r="H10" s="1" t="str">
        <f>IF(COUNTA(Prepared!$A$2:$A$21)&lt;&gt;20,"",IF(COUNTIFS($C$2:$C$21,C10)&gt;1,"FLAG","OK"))</f>
        <v/>
      </c>
      <c r="I10" s="1" t="str">
        <f>IF(COUNTA(Prepared!$A$2:$A$21)&lt;&gt;20,"",IF(OR(D10="READY",D10="HOLD",D10="REVIEW"),"OK","FLAG"))</f>
        <v/>
      </c>
      <c r="J10" s="1" t="str">
        <f>IF(COUNTA(Prepared!$A$2:$A$21)&lt;&gt;20,"",IF(AND(ISNUMBER(E10),E10&gt;=1,E10&lt;=60),"OK","FLAG"))</f>
        <v/>
      </c>
      <c r="K10" s="1" t="str">
        <f>IF(COUNTA(Prepared!$A$2:$A$21)&lt;&gt;20,"",IF(AND(D10="READY",F10=""),"FLAG","OK"))</f>
        <v/>
      </c>
      <c r="L10" s="1" t="str">
        <f t="shared" si="0"/>
        <v/>
      </c>
    </row>
    <row r="11" spans="1:12" ht="24" customHeight="1">
      <c r="A11" s="1" t="str">
        <f>IF(Prepared!A11="","",Prepared!A11)</f>
        <v/>
      </c>
      <c r="B11" s="1" t="str">
        <f>IF(Prepared!B11="","",Prepared!B11)</f>
        <v/>
      </c>
      <c r="C11" s="1" t="str">
        <f>IF(Prepared!C11="","",Prepared!C11)</f>
        <v/>
      </c>
      <c r="D11" s="1" t="str">
        <f>IF(Prepared!D11="","",Prepared!D11)</f>
        <v/>
      </c>
      <c r="E11" s="1" t="str">
        <f>IF(Prepared!E11="","",Prepared!E11)</f>
        <v/>
      </c>
      <c r="F11" s="1" t="str">
        <f>IF(Prepared!F11="","",Prepared!F11)</f>
        <v/>
      </c>
      <c r="G11" s="1" t="str">
        <f>IF(COUNTA(Prepared!$A$2:$A$21)&lt;&gt;20,"",IF(B11="","FLAG","OK"))</f>
        <v/>
      </c>
      <c r="H11" s="1" t="str">
        <f>IF(COUNTA(Prepared!$A$2:$A$21)&lt;&gt;20,"",IF(COUNTIFS($C$2:$C$21,C11)&gt;1,"FLAG","OK"))</f>
        <v/>
      </c>
      <c r="I11" s="1" t="str">
        <f>IF(COUNTA(Prepared!$A$2:$A$21)&lt;&gt;20,"",IF(OR(D11="READY",D11="HOLD",D11="REVIEW"),"OK","FLAG"))</f>
        <v/>
      </c>
      <c r="J11" s="1" t="str">
        <f>IF(COUNTA(Prepared!$A$2:$A$21)&lt;&gt;20,"",IF(AND(ISNUMBER(E11),E11&gt;=1,E11&lt;=60),"OK","FLAG"))</f>
        <v/>
      </c>
      <c r="K11" s="1" t="str">
        <f>IF(COUNTA(Prepared!$A$2:$A$21)&lt;&gt;20,"",IF(AND(D11="READY",F11=""),"FLAG","OK"))</f>
        <v/>
      </c>
      <c r="L11" s="1" t="str">
        <f t="shared" si="0"/>
        <v/>
      </c>
    </row>
    <row r="12" spans="1:12" ht="24" customHeight="1">
      <c r="A12" s="1" t="str">
        <f>IF(Prepared!A12="","",Prepared!A12)</f>
        <v/>
      </c>
      <c r="B12" s="1" t="str">
        <f>IF(Prepared!B12="","",Prepared!B12)</f>
        <v/>
      </c>
      <c r="C12" s="1" t="str">
        <f>IF(Prepared!C12="","",Prepared!C12)</f>
        <v/>
      </c>
      <c r="D12" s="1" t="str">
        <f>IF(Prepared!D12="","",Prepared!D12)</f>
        <v/>
      </c>
      <c r="E12" s="1" t="str">
        <f>IF(Prepared!E12="","",Prepared!E12)</f>
        <v/>
      </c>
      <c r="F12" s="1" t="str">
        <f>IF(Prepared!F12="","",Prepared!F12)</f>
        <v/>
      </c>
      <c r="G12" s="1" t="str">
        <f>IF(COUNTA(Prepared!$A$2:$A$21)&lt;&gt;20,"",IF(B12="","FLAG","OK"))</f>
        <v/>
      </c>
      <c r="H12" s="1" t="str">
        <f>IF(COUNTA(Prepared!$A$2:$A$21)&lt;&gt;20,"",IF(COUNTIFS($C$2:$C$21,C12)&gt;1,"FLAG","OK"))</f>
        <v/>
      </c>
      <c r="I12" s="1" t="str">
        <f>IF(COUNTA(Prepared!$A$2:$A$21)&lt;&gt;20,"",IF(OR(D12="READY",D12="HOLD",D12="REVIEW"),"OK","FLAG"))</f>
        <v/>
      </c>
      <c r="J12" s="1" t="str">
        <f>IF(COUNTA(Prepared!$A$2:$A$21)&lt;&gt;20,"",IF(AND(ISNUMBER(E12),E12&gt;=1,E12&lt;=60),"OK","FLAG"))</f>
        <v/>
      </c>
      <c r="K12" s="1" t="str">
        <f>IF(COUNTA(Prepared!$A$2:$A$21)&lt;&gt;20,"",IF(AND(D12="READY",F12=""),"FLAG","OK"))</f>
        <v/>
      </c>
      <c r="L12" s="1" t="str">
        <f t="shared" si="0"/>
        <v/>
      </c>
    </row>
    <row r="13" spans="1:12" ht="24" customHeight="1">
      <c r="A13" s="1" t="str">
        <f>IF(Prepared!A13="","",Prepared!A13)</f>
        <v/>
      </c>
      <c r="B13" s="1" t="str">
        <f>IF(Prepared!B13="","",Prepared!B13)</f>
        <v/>
      </c>
      <c r="C13" s="1" t="str">
        <f>IF(Prepared!C13="","",Prepared!C13)</f>
        <v/>
      </c>
      <c r="D13" s="1" t="str">
        <f>IF(Prepared!D13="","",Prepared!D13)</f>
        <v/>
      </c>
      <c r="E13" s="1" t="str">
        <f>IF(Prepared!E13="","",Prepared!E13)</f>
        <v/>
      </c>
      <c r="F13" s="1" t="str">
        <f>IF(Prepared!F13="","",Prepared!F13)</f>
        <v/>
      </c>
      <c r="G13" s="1" t="str">
        <f>IF(COUNTA(Prepared!$A$2:$A$21)&lt;&gt;20,"",IF(B13="","FLAG","OK"))</f>
        <v/>
      </c>
      <c r="H13" s="1" t="str">
        <f>IF(COUNTA(Prepared!$A$2:$A$21)&lt;&gt;20,"",IF(COUNTIFS($C$2:$C$21,C13)&gt;1,"FLAG","OK"))</f>
        <v/>
      </c>
      <c r="I13" s="1" t="str">
        <f>IF(COUNTA(Prepared!$A$2:$A$21)&lt;&gt;20,"",IF(OR(D13="READY",D13="HOLD",D13="REVIEW"),"OK","FLAG"))</f>
        <v/>
      </c>
      <c r="J13" s="1" t="str">
        <f>IF(COUNTA(Prepared!$A$2:$A$21)&lt;&gt;20,"",IF(AND(ISNUMBER(E13),E13&gt;=1,E13&lt;=60),"OK","FLAG"))</f>
        <v/>
      </c>
      <c r="K13" s="1" t="str">
        <f>IF(COUNTA(Prepared!$A$2:$A$21)&lt;&gt;20,"",IF(AND(D13="READY",F13=""),"FLAG","OK"))</f>
        <v/>
      </c>
      <c r="L13" s="1" t="str">
        <f t="shared" si="0"/>
        <v/>
      </c>
    </row>
    <row r="14" spans="1:12" ht="24" customHeight="1">
      <c r="A14" s="1" t="str">
        <f>IF(Prepared!A14="","",Prepared!A14)</f>
        <v/>
      </c>
      <c r="B14" s="1" t="str">
        <f>IF(Prepared!B14="","",Prepared!B14)</f>
        <v/>
      </c>
      <c r="C14" s="1" t="str">
        <f>IF(Prepared!C14="","",Prepared!C14)</f>
        <v/>
      </c>
      <c r="D14" s="1" t="str">
        <f>IF(Prepared!D14="","",Prepared!D14)</f>
        <v/>
      </c>
      <c r="E14" s="1" t="str">
        <f>IF(Prepared!E14="","",Prepared!E14)</f>
        <v/>
      </c>
      <c r="F14" s="1" t="str">
        <f>IF(Prepared!F14="","",Prepared!F14)</f>
        <v/>
      </c>
      <c r="G14" s="1" t="str">
        <f>IF(COUNTA(Prepared!$A$2:$A$21)&lt;&gt;20,"",IF(B14="","FLAG","OK"))</f>
        <v/>
      </c>
      <c r="H14" s="1" t="str">
        <f>IF(COUNTA(Prepared!$A$2:$A$21)&lt;&gt;20,"",IF(COUNTIFS($C$2:$C$21,C14)&gt;1,"FLAG","OK"))</f>
        <v/>
      </c>
      <c r="I14" s="1" t="str">
        <f>IF(COUNTA(Prepared!$A$2:$A$21)&lt;&gt;20,"",IF(OR(D14="READY",D14="HOLD",D14="REVIEW"),"OK","FLAG"))</f>
        <v/>
      </c>
      <c r="J14" s="1" t="str">
        <f>IF(COUNTA(Prepared!$A$2:$A$21)&lt;&gt;20,"",IF(AND(ISNUMBER(E14),E14&gt;=1,E14&lt;=60),"OK","FLAG"))</f>
        <v/>
      </c>
      <c r="K14" s="1" t="str">
        <f>IF(COUNTA(Prepared!$A$2:$A$21)&lt;&gt;20,"",IF(AND(D14="READY",F14=""),"FLAG","OK"))</f>
        <v/>
      </c>
      <c r="L14" s="1" t="str">
        <f t="shared" si="0"/>
        <v/>
      </c>
    </row>
    <row r="15" spans="1:12" ht="24" customHeight="1">
      <c r="A15" s="1" t="str">
        <f>IF(Prepared!A15="","",Prepared!A15)</f>
        <v/>
      </c>
      <c r="B15" s="1" t="str">
        <f>IF(Prepared!B15="","",Prepared!B15)</f>
        <v/>
      </c>
      <c r="C15" s="1" t="str">
        <f>IF(Prepared!C15="","",Prepared!C15)</f>
        <v/>
      </c>
      <c r="D15" s="1" t="str">
        <f>IF(Prepared!D15="","",Prepared!D15)</f>
        <v/>
      </c>
      <c r="E15" s="1" t="str">
        <f>IF(Prepared!E15="","",Prepared!E15)</f>
        <v/>
      </c>
      <c r="F15" s="1" t="str">
        <f>IF(Prepared!F15="","",Prepared!F15)</f>
        <v/>
      </c>
      <c r="G15" s="1" t="str">
        <f>IF(COUNTA(Prepared!$A$2:$A$21)&lt;&gt;20,"",IF(B15="","FLAG","OK"))</f>
        <v/>
      </c>
      <c r="H15" s="1" t="str">
        <f>IF(COUNTA(Prepared!$A$2:$A$21)&lt;&gt;20,"",IF(COUNTIFS($C$2:$C$21,C15)&gt;1,"FLAG","OK"))</f>
        <v/>
      </c>
      <c r="I15" s="1" t="str">
        <f>IF(COUNTA(Prepared!$A$2:$A$21)&lt;&gt;20,"",IF(OR(D15="READY",D15="HOLD",D15="REVIEW"),"OK","FLAG"))</f>
        <v/>
      </c>
      <c r="J15" s="1" t="str">
        <f>IF(COUNTA(Prepared!$A$2:$A$21)&lt;&gt;20,"",IF(AND(ISNUMBER(E15),E15&gt;=1,E15&lt;=60),"OK","FLAG"))</f>
        <v/>
      </c>
      <c r="K15" s="1" t="str">
        <f>IF(COUNTA(Prepared!$A$2:$A$21)&lt;&gt;20,"",IF(AND(D15="READY",F15=""),"FLAG","OK"))</f>
        <v/>
      </c>
      <c r="L15" s="1" t="str">
        <f t="shared" si="0"/>
        <v/>
      </c>
    </row>
    <row r="16" spans="1:12" ht="24" customHeight="1">
      <c r="A16" s="1" t="str">
        <f>IF(Prepared!A16="","",Prepared!A16)</f>
        <v/>
      </c>
      <c r="B16" s="1" t="str">
        <f>IF(Prepared!B16="","",Prepared!B16)</f>
        <v/>
      </c>
      <c r="C16" s="1" t="str">
        <f>IF(Prepared!C16="","",Prepared!C16)</f>
        <v/>
      </c>
      <c r="D16" s="1" t="str">
        <f>IF(Prepared!D16="","",Prepared!D16)</f>
        <v/>
      </c>
      <c r="E16" s="1" t="str">
        <f>IF(Prepared!E16="","",Prepared!E16)</f>
        <v/>
      </c>
      <c r="F16" s="1" t="str">
        <f>IF(Prepared!F16="","",Prepared!F16)</f>
        <v/>
      </c>
      <c r="G16" s="1" t="str">
        <f>IF(COUNTA(Prepared!$A$2:$A$21)&lt;&gt;20,"",IF(B16="","FLAG","OK"))</f>
        <v/>
      </c>
      <c r="H16" s="1" t="str">
        <f>IF(COUNTA(Prepared!$A$2:$A$21)&lt;&gt;20,"",IF(COUNTIFS($C$2:$C$21,C16)&gt;1,"FLAG","OK"))</f>
        <v/>
      </c>
      <c r="I16" s="1" t="str">
        <f>IF(COUNTA(Prepared!$A$2:$A$21)&lt;&gt;20,"",IF(OR(D16="READY",D16="HOLD",D16="REVIEW"),"OK","FLAG"))</f>
        <v/>
      </c>
      <c r="J16" s="1" t="str">
        <f>IF(COUNTA(Prepared!$A$2:$A$21)&lt;&gt;20,"",IF(AND(ISNUMBER(E16),E16&gt;=1,E16&lt;=60),"OK","FLAG"))</f>
        <v/>
      </c>
      <c r="K16" s="1" t="str">
        <f>IF(COUNTA(Prepared!$A$2:$A$21)&lt;&gt;20,"",IF(AND(D16="READY",F16=""),"FLAG","OK"))</f>
        <v/>
      </c>
      <c r="L16" s="1" t="str">
        <f t="shared" si="0"/>
        <v/>
      </c>
    </row>
    <row r="17" spans="1:12" ht="24" customHeight="1">
      <c r="A17" s="1" t="str">
        <f>IF(Prepared!A17="","",Prepared!A17)</f>
        <v/>
      </c>
      <c r="B17" s="1" t="str">
        <f>IF(Prepared!B17="","",Prepared!B17)</f>
        <v/>
      </c>
      <c r="C17" s="1" t="str">
        <f>IF(Prepared!C17="","",Prepared!C17)</f>
        <v/>
      </c>
      <c r="D17" s="1" t="str">
        <f>IF(Prepared!D17="","",Prepared!D17)</f>
        <v/>
      </c>
      <c r="E17" s="1" t="str">
        <f>IF(Prepared!E17="","",Prepared!E17)</f>
        <v/>
      </c>
      <c r="F17" s="1" t="str">
        <f>IF(Prepared!F17="","",Prepared!F17)</f>
        <v/>
      </c>
      <c r="G17" s="1" t="str">
        <f>IF(COUNTA(Prepared!$A$2:$A$21)&lt;&gt;20,"",IF(B17="","FLAG","OK"))</f>
        <v/>
      </c>
      <c r="H17" s="1" t="str">
        <f>IF(COUNTA(Prepared!$A$2:$A$21)&lt;&gt;20,"",IF(COUNTIFS($C$2:$C$21,C17)&gt;1,"FLAG","OK"))</f>
        <v/>
      </c>
      <c r="I17" s="1" t="str">
        <f>IF(COUNTA(Prepared!$A$2:$A$21)&lt;&gt;20,"",IF(OR(D17="READY",D17="HOLD",D17="REVIEW"),"OK","FLAG"))</f>
        <v/>
      </c>
      <c r="J17" s="1" t="str">
        <f>IF(COUNTA(Prepared!$A$2:$A$21)&lt;&gt;20,"",IF(AND(ISNUMBER(E17),E17&gt;=1,E17&lt;=60),"OK","FLAG"))</f>
        <v/>
      </c>
      <c r="K17" s="1" t="str">
        <f>IF(COUNTA(Prepared!$A$2:$A$21)&lt;&gt;20,"",IF(AND(D17="READY",F17=""),"FLAG","OK"))</f>
        <v/>
      </c>
      <c r="L17" s="1" t="str">
        <f t="shared" si="0"/>
        <v/>
      </c>
    </row>
    <row r="18" spans="1:12" ht="24" customHeight="1">
      <c r="A18" s="1" t="str">
        <f>IF(Prepared!A18="","",Prepared!A18)</f>
        <v/>
      </c>
      <c r="B18" s="1" t="str">
        <f>IF(Prepared!B18="","",Prepared!B18)</f>
        <v/>
      </c>
      <c r="C18" s="1" t="str">
        <f>IF(Prepared!C18="","",Prepared!C18)</f>
        <v/>
      </c>
      <c r="D18" s="1" t="str">
        <f>IF(Prepared!D18="","",Prepared!D18)</f>
        <v/>
      </c>
      <c r="E18" s="1" t="str">
        <f>IF(Prepared!E18="","",Prepared!E18)</f>
        <v/>
      </c>
      <c r="F18" s="1" t="str">
        <f>IF(Prepared!F18="","",Prepared!F18)</f>
        <v/>
      </c>
      <c r="G18" s="1" t="str">
        <f>IF(COUNTA(Prepared!$A$2:$A$21)&lt;&gt;20,"",IF(B18="","FLAG","OK"))</f>
        <v/>
      </c>
      <c r="H18" s="1" t="str">
        <f>IF(COUNTA(Prepared!$A$2:$A$21)&lt;&gt;20,"",IF(COUNTIFS($C$2:$C$21,C18)&gt;1,"FLAG","OK"))</f>
        <v/>
      </c>
      <c r="I18" s="1" t="str">
        <f>IF(COUNTA(Prepared!$A$2:$A$21)&lt;&gt;20,"",IF(OR(D18="READY",D18="HOLD",D18="REVIEW"),"OK","FLAG"))</f>
        <v/>
      </c>
      <c r="J18" s="1" t="str">
        <f>IF(COUNTA(Prepared!$A$2:$A$21)&lt;&gt;20,"",IF(AND(ISNUMBER(E18),E18&gt;=1,E18&lt;=60),"OK","FLAG"))</f>
        <v/>
      </c>
      <c r="K18" s="1" t="str">
        <f>IF(COUNTA(Prepared!$A$2:$A$21)&lt;&gt;20,"",IF(AND(D18="READY",F18=""),"FLAG","OK"))</f>
        <v/>
      </c>
      <c r="L18" s="1" t="str">
        <f t="shared" si="0"/>
        <v/>
      </c>
    </row>
    <row r="19" spans="1:12" ht="24" customHeight="1">
      <c r="A19" s="1" t="str">
        <f>IF(Prepared!A19="","",Prepared!A19)</f>
        <v/>
      </c>
      <c r="B19" s="1" t="str">
        <f>IF(Prepared!B19="","",Prepared!B19)</f>
        <v/>
      </c>
      <c r="C19" s="1" t="str">
        <f>IF(Prepared!C19="","",Prepared!C19)</f>
        <v/>
      </c>
      <c r="D19" s="1" t="str">
        <f>IF(Prepared!D19="","",Prepared!D19)</f>
        <v/>
      </c>
      <c r="E19" s="1" t="str">
        <f>IF(Prepared!E19="","",Prepared!E19)</f>
        <v/>
      </c>
      <c r="F19" s="1" t="str">
        <f>IF(Prepared!F19="","",Prepared!F19)</f>
        <v/>
      </c>
      <c r="G19" s="1" t="str">
        <f>IF(COUNTA(Prepared!$A$2:$A$21)&lt;&gt;20,"",IF(B19="","FLAG","OK"))</f>
        <v/>
      </c>
      <c r="H19" s="1" t="str">
        <f>IF(COUNTA(Prepared!$A$2:$A$21)&lt;&gt;20,"",IF(COUNTIFS($C$2:$C$21,C19)&gt;1,"FLAG","OK"))</f>
        <v/>
      </c>
      <c r="I19" s="1" t="str">
        <f>IF(COUNTA(Prepared!$A$2:$A$21)&lt;&gt;20,"",IF(OR(D19="READY",D19="HOLD",D19="REVIEW"),"OK","FLAG"))</f>
        <v/>
      </c>
      <c r="J19" s="1" t="str">
        <f>IF(COUNTA(Prepared!$A$2:$A$21)&lt;&gt;20,"",IF(AND(ISNUMBER(E19),E19&gt;=1,E19&lt;=60),"OK","FLAG"))</f>
        <v/>
      </c>
      <c r="K19" s="1" t="str">
        <f>IF(COUNTA(Prepared!$A$2:$A$21)&lt;&gt;20,"",IF(AND(D19="READY",F19=""),"FLAG","OK"))</f>
        <v/>
      </c>
      <c r="L19" s="1" t="str">
        <f t="shared" si="0"/>
        <v/>
      </c>
    </row>
    <row r="20" spans="1:12" ht="24" customHeight="1">
      <c r="A20" s="1" t="str">
        <f>IF(Prepared!A20="","",Prepared!A20)</f>
        <v/>
      </c>
      <c r="B20" s="1" t="str">
        <f>IF(Prepared!B20="","",Prepared!B20)</f>
        <v/>
      </c>
      <c r="C20" s="1" t="str">
        <f>IF(Prepared!C20="","",Prepared!C20)</f>
        <v/>
      </c>
      <c r="D20" s="1" t="str">
        <f>IF(Prepared!D20="","",Prepared!D20)</f>
        <v/>
      </c>
      <c r="E20" s="1" t="str">
        <f>IF(Prepared!E20="","",Prepared!E20)</f>
        <v/>
      </c>
      <c r="F20" s="1" t="str">
        <f>IF(Prepared!F20="","",Prepared!F20)</f>
        <v/>
      </c>
      <c r="G20" s="1" t="str">
        <f>IF(COUNTA(Prepared!$A$2:$A$21)&lt;&gt;20,"",IF(B20="","FLAG","OK"))</f>
        <v/>
      </c>
      <c r="H20" s="1" t="str">
        <f>IF(COUNTA(Prepared!$A$2:$A$21)&lt;&gt;20,"",IF(COUNTIFS($C$2:$C$21,C20)&gt;1,"FLAG","OK"))</f>
        <v/>
      </c>
      <c r="I20" s="1" t="str">
        <f>IF(COUNTA(Prepared!$A$2:$A$21)&lt;&gt;20,"",IF(OR(D20="READY",D20="HOLD",D20="REVIEW"),"OK","FLAG"))</f>
        <v/>
      </c>
      <c r="J20" s="1" t="str">
        <f>IF(COUNTA(Prepared!$A$2:$A$21)&lt;&gt;20,"",IF(AND(ISNUMBER(E20),E20&gt;=1,E20&lt;=60),"OK","FLAG"))</f>
        <v/>
      </c>
      <c r="K20" s="1" t="str">
        <f>IF(COUNTA(Prepared!$A$2:$A$21)&lt;&gt;20,"",IF(AND(D20="READY",F20=""),"FLAG","OK"))</f>
        <v/>
      </c>
      <c r="L20" s="1" t="str">
        <f t="shared" si="0"/>
        <v/>
      </c>
    </row>
    <row r="21" spans="1:12" ht="24" customHeight="1">
      <c r="A21" s="1" t="str">
        <f>IF(Prepared!A21="","",Prepared!A21)</f>
        <v/>
      </c>
      <c r="B21" s="1" t="str">
        <f>IF(Prepared!B21="","",Prepared!B21)</f>
        <v/>
      </c>
      <c r="C21" s="1" t="str">
        <f>IF(Prepared!C21="","",Prepared!C21)</f>
        <v/>
      </c>
      <c r="D21" s="1" t="str">
        <f>IF(Prepared!D21="","",Prepared!D21)</f>
        <v/>
      </c>
      <c r="E21" s="1" t="str">
        <f>IF(Prepared!E21="","",Prepared!E21)</f>
        <v/>
      </c>
      <c r="F21" s="1" t="str">
        <f>IF(Prepared!F21="","",Prepared!F21)</f>
        <v/>
      </c>
      <c r="G21" s="1" t="str">
        <f>IF(COUNTA(Prepared!$A$2:$A$21)&lt;&gt;20,"",IF(B21="","FLAG","OK"))</f>
        <v/>
      </c>
      <c r="H21" s="1" t="str">
        <f>IF(COUNTA(Prepared!$A$2:$A$21)&lt;&gt;20,"",IF(COUNTIFS($C$2:$C$21,C21)&gt;1,"FLAG","OK"))</f>
        <v/>
      </c>
      <c r="I21" s="1" t="str">
        <f>IF(COUNTA(Prepared!$A$2:$A$21)&lt;&gt;20,"",IF(OR(D21="READY",D21="HOLD",D21="REVIEW"),"OK","FLAG"))</f>
        <v/>
      </c>
      <c r="J21" s="1" t="str">
        <f>IF(COUNTA(Prepared!$A$2:$A$21)&lt;&gt;20,"",IF(AND(ISNUMBER(E21),E21&gt;=1,E21&lt;=60),"OK","FLAG"))</f>
        <v/>
      </c>
      <c r="K21" s="1" t="str">
        <f>IF(COUNTA(Prepared!$A$2:$A$21)&lt;&gt;20,"",IF(AND(D21="READY",F21=""),"FLAG","OK"))</f>
        <v/>
      </c>
      <c r="L21" s="1" t="str">
        <f t="shared" si="0"/>
        <v/>
      </c>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conditionalFormatting sqref="G2:L21">
    <cfRule type="containsText" dxfId="0" priority="1" operator="containsText" text="FLAG"/>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2E1BB9-A1BF-4AA2-B3A5-9C9EC5CC3E43}">
  <ds:schemaRefs>
    <ds:schemaRef ds:uri="http://schemas.microsoft.com/DataMashup"/>
  </ds:schemaRefs>
</ds:datastoreItem>
</file>

<file path=docMetadata/LabelInfo.xml><?xml version="1.0" encoding="utf-8"?>
<clbl:labelList xmlns:clbl="http://schemas.microsoft.com/office/2020/mipLabelMetadata">
  <clbl:label id="{c6e17ab0-d9c7-43e4-b85d-f29d7eca34a3}" enabled="1" method="Standard" siteId="{f6bb5689-1cd5-404a-b451-f35991b30e0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Report</vt:lpstr>
      <vt:lpstr>RawRecords</vt:lpstr>
      <vt:lpstr>WO_Dupes</vt:lpstr>
      <vt:lpstr>Table1</vt:lpstr>
      <vt:lpstr>Raw</vt:lpstr>
      <vt:lpstr>Prepared</vt:lpstr>
      <vt:lpstr>Audit</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craig temple</cp:lastModifiedBy>
  <dcterms:modified xsi:type="dcterms:W3CDTF">2026-10-28T06:01:07Z</dcterms:modified>
</cp:coreProperties>
</file>